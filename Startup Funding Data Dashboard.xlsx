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1b3f107fa3016b0/Desktop/port/excel/"/>
    </mc:Choice>
  </mc:AlternateContent>
  <xr:revisionPtr revIDLastSave="2" documentId="8_{7C394266-6FA9-46A2-9B06-51E4A9E6D863}" xr6:coauthVersionLast="47" xr6:coauthVersionMax="47" xr10:uidLastSave="{178FD9F2-F25B-4977-9979-659F82642E3C}"/>
  <bookViews>
    <workbookView xWindow="-108" yWindow="-108" windowWidth="23256" windowHeight="13176" xr2:uid="{A0739529-B36F-4E34-8F8A-03B8A98056D8}"/>
  </bookViews>
  <sheets>
    <sheet name="Dashboard" sheetId="12" r:id="rId1"/>
    <sheet name="KPI's" sheetId="3" r:id="rId2"/>
    <sheet name="indian_startup_funding_2020_202" sheetId="2" r:id="rId3"/>
    <sheet name="Funding by Year" sheetId="6" r:id="rId4"/>
    <sheet name="Deal Count by Industry" sheetId="7" r:id="rId5"/>
    <sheet name="Funding by Stage" sheetId="8" r:id="rId6"/>
    <sheet name="Deal Count by Cities" sheetId="9" r:id="rId7"/>
    <sheet name="Deals Count by Amount" sheetId="10" r:id="rId8"/>
    <sheet name="Top Five Industry by Funding " sheetId="11" r:id="rId9"/>
  </sheets>
  <definedNames>
    <definedName name="_xlchart.v1.0" hidden="1">'Deal Count by Cities'!$A$4:$A$13</definedName>
    <definedName name="_xlchart.v1.1" hidden="1">'Deal Count by Cities'!$B$3</definedName>
    <definedName name="_xlchart.v1.2" hidden="1">'Deal Count by Cities'!$B$4:$B$13</definedName>
    <definedName name="_xlchart.v1.3" hidden="1">'Deal Count by Cities'!$A$4:$A$13</definedName>
    <definedName name="_xlchart.v1.4" hidden="1">'Deal Count by Cities'!$B$3</definedName>
    <definedName name="_xlchart.v1.5" hidden="1">'Deal Count by Cities'!$B$4:$B$13</definedName>
    <definedName name="ExternalData_1" localSheetId="2" hidden="1">indian_startup_funding_2020_202!$A$1:$N$1101</definedName>
    <definedName name="Slicer_Industry_Groups">#N/A</definedName>
    <definedName name="Slicer_Stage_Group">#N/A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3" l="1"/>
  <c r="D6" i="3"/>
  <c r="C6" i="3"/>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396613-A0EB-439A-A6C6-742011DBC1CD}" keepAlive="1" name="Query - indian_startup_funding_2020_2025_sample" description="Connection to the 'indian_startup_funding_2020_2025_sample' query in the workbook." type="5" refreshedVersion="8" background="1" saveData="1">
    <dbPr connection="Provider=Microsoft.Mashup.OleDb.1;Data Source=$Workbook$;Location=indian_startup_funding_2020_2025_sample;Extended Properties=&quot;&quot;" command="SELECT * FROM [indian_startup_funding_2020_2025_sample]"/>
  </connection>
</connections>
</file>

<file path=xl/sharedStrings.xml><?xml version="1.0" encoding="utf-8"?>
<sst xmlns="http://schemas.openxmlformats.org/spreadsheetml/2006/main" count="11063" uniqueCount="727">
  <si>
    <t>Startup</t>
  </si>
  <si>
    <t>Industry</t>
  </si>
  <si>
    <t>SubVertical</t>
  </si>
  <si>
    <t>City</t>
  </si>
  <si>
    <t>Investors</t>
  </si>
  <si>
    <t>Investment Type</t>
  </si>
  <si>
    <t>InvestmentAmount_USD</t>
  </si>
  <si>
    <t>Date</t>
  </si>
  <si>
    <t>Year</t>
  </si>
  <si>
    <t>Month Name</t>
  </si>
  <si>
    <t>Month</t>
  </si>
  <si>
    <t>Stage Group</t>
  </si>
  <si>
    <t>Amount Bucket</t>
  </si>
  <si>
    <t>Industry Groups</t>
  </si>
  <si>
    <t>Housejoy</t>
  </si>
  <si>
    <t>EdTech</t>
  </si>
  <si>
    <t>K12</t>
  </si>
  <si>
    <t>Mumbai</t>
  </si>
  <si>
    <t>Lightspeed India</t>
  </si>
  <si>
    <t>Seed</t>
  </si>
  <si>
    <t>April</t>
  </si>
  <si>
    <t>Early Stage</t>
  </si>
  <si>
    <t>Small (under $1M)</t>
  </si>
  <si>
    <t>Health &amp; Education</t>
  </si>
  <si>
    <t>Groww</t>
  </si>
  <si>
    <t>Media</t>
  </si>
  <si>
    <t>Streaming</t>
  </si>
  <si>
    <t>Bengaluru</t>
  </si>
  <si>
    <t>IFC</t>
  </si>
  <si>
    <t>January</t>
  </si>
  <si>
    <t>Mid ($1M–$10M)</t>
  </si>
  <si>
    <t>Consumer</t>
  </si>
  <si>
    <t>Mobility</t>
  </si>
  <si>
    <t>Ride Sharing</t>
  </si>
  <si>
    <t>Hyderabad</t>
  </si>
  <si>
    <t>Nexus Venture Partners, Peak XV</t>
  </si>
  <si>
    <t>Series B</t>
  </si>
  <si>
    <t>March</t>
  </si>
  <si>
    <t>Growth Stage</t>
  </si>
  <si>
    <t>Large ($10M–$100M)</t>
  </si>
  <si>
    <t>Real Economy</t>
  </si>
  <si>
    <t>FarmBox</t>
  </si>
  <si>
    <t>Consumer Electronics</t>
  </si>
  <si>
    <t>Wearables</t>
  </si>
  <si>
    <t>Gurugram</t>
  </si>
  <si>
    <t>Kalaari Capital, Y Combinator</t>
  </si>
  <si>
    <t>September</t>
  </si>
  <si>
    <t>Tech</t>
  </si>
  <si>
    <t>Udaan</t>
  </si>
  <si>
    <t>RealEstate</t>
  </si>
  <si>
    <t>Rental Tech</t>
  </si>
  <si>
    <t>Bessemer Venture Partners</t>
  </si>
  <si>
    <t>AeroStack</t>
  </si>
  <si>
    <t>Coding Bootcamp</t>
  </si>
  <si>
    <t>Delhi</t>
  </si>
  <si>
    <t>Matrix Partners India, Peak XV</t>
  </si>
  <si>
    <t>Pre-Series A</t>
  </si>
  <si>
    <t>July</t>
  </si>
  <si>
    <t>Ola</t>
  </si>
  <si>
    <t>Retail</t>
  </si>
  <si>
    <t>Fashion</t>
  </si>
  <si>
    <t>Tiger Global Management</t>
  </si>
  <si>
    <t>FinSpace</t>
  </si>
  <si>
    <t>Blume Ventures</t>
  </si>
  <si>
    <t>Growth</t>
  </si>
  <si>
    <t>Late Stage</t>
  </si>
  <si>
    <t>Mega (above $100M)</t>
  </si>
  <si>
    <t>Rapido</t>
  </si>
  <si>
    <t>FoodTech</t>
  </si>
  <si>
    <t>Food Delivery</t>
  </si>
  <si>
    <t>Kolkata</t>
  </si>
  <si>
    <t>A91 Partners, Kedaara Capital, Tiger Global Management</t>
  </si>
  <si>
    <t>November</t>
  </si>
  <si>
    <t>HyperLoop</t>
  </si>
  <si>
    <t>Test Prep</t>
  </si>
  <si>
    <t>Ahmedabad</t>
  </si>
  <si>
    <t>Mirae Asset, SoftBank Vision Fund, Tiger Global</t>
  </si>
  <si>
    <t>May</t>
  </si>
  <si>
    <t>NextSense_10</t>
  </si>
  <si>
    <t>IFC, Kalaari Capital, Peak XV</t>
  </si>
  <si>
    <t>LogiMart</t>
  </si>
  <si>
    <t>FinTech</t>
  </si>
  <si>
    <t>NeoBank</t>
  </si>
  <si>
    <t>Falcon Edge, Peak XV</t>
  </si>
  <si>
    <t>Finance</t>
  </si>
  <si>
    <t>CoreFlow</t>
  </si>
  <si>
    <t>SaaS</t>
  </si>
  <si>
    <t>DevTools</t>
  </si>
  <si>
    <t>Elevation Capital, SoftBank Vision Fund, Ventures India</t>
  </si>
  <si>
    <t>October</t>
  </si>
  <si>
    <t>InsurTech</t>
  </si>
  <si>
    <t>Falcon Edge</t>
  </si>
  <si>
    <t>Debt</t>
  </si>
  <si>
    <t>ClearDekho</t>
  </si>
  <si>
    <t>Logistics</t>
  </si>
  <si>
    <t>Last Mile</t>
  </si>
  <si>
    <t>Pune</t>
  </si>
  <si>
    <t>Y Combinator</t>
  </si>
  <si>
    <t>Private Equity</t>
  </si>
  <si>
    <t>December</t>
  </si>
  <si>
    <t>NextSense</t>
  </si>
  <si>
    <t>Micro Mobility</t>
  </si>
  <si>
    <t>A91 Partners, Falcon Edge, Prosus Ventures</t>
  </si>
  <si>
    <t>Series A</t>
  </si>
  <si>
    <t>Zomato</t>
  </si>
  <si>
    <t>HealthTech</t>
  </si>
  <si>
    <t>Pharmacy</t>
  </si>
  <si>
    <t>Blume Ventures, Elevation Capital</t>
  </si>
  <si>
    <t>February</t>
  </si>
  <si>
    <t>FarmTech</t>
  </si>
  <si>
    <t>UpSkilling</t>
  </si>
  <si>
    <t>Noida</t>
  </si>
  <si>
    <t>Accel</t>
  </si>
  <si>
    <t>Innovaccer</t>
  </si>
  <si>
    <t>Enterprise</t>
  </si>
  <si>
    <t>Security</t>
  </si>
  <si>
    <t>Ribbit Capital</t>
  </si>
  <si>
    <t>Pre-Seed</t>
  </si>
  <si>
    <t>CureFit</t>
  </si>
  <si>
    <t>Health Analytics</t>
  </si>
  <si>
    <t>WorkPay</t>
  </si>
  <si>
    <t>Tiger Global</t>
  </si>
  <si>
    <t>Mobikwik</t>
  </si>
  <si>
    <t>E-Retail</t>
  </si>
  <si>
    <t>Accel, Bessemer Venture Partners, IFC</t>
  </si>
  <si>
    <t>Freshworks</t>
  </si>
  <si>
    <t>AgriTech</t>
  </si>
  <si>
    <t>Marketplace</t>
  </si>
  <si>
    <t>Angel</t>
  </si>
  <si>
    <t>EduTech</t>
  </si>
  <si>
    <t>Lending</t>
  </si>
  <si>
    <t>IFC, Matrix Partners India, Zodius Capital</t>
  </si>
  <si>
    <t>Series C</t>
  </si>
  <si>
    <t>Y Combinator, Zodius Capital</t>
  </si>
  <si>
    <t>HomeFoods</t>
  </si>
  <si>
    <t>PropTech</t>
  </si>
  <si>
    <t>Chennai</t>
  </si>
  <si>
    <t>QuantumSolutions</t>
  </si>
  <si>
    <t>EV</t>
  </si>
  <si>
    <t>Swiggy</t>
  </si>
  <si>
    <t>Kedaara Capital</t>
  </si>
  <si>
    <t>June</t>
  </si>
  <si>
    <t>HyperLabs</t>
  </si>
  <si>
    <t>DriveEdge_29</t>
  </si>
  <si>
    <t>LCatterton, Prosus Ventures, Ribbit Capital</t>
  </si>
  <si>
    <t>NeoTech</t>
  </si>
  <si>
    <t>Fleet Management</t>
  </si>
  <si>
    <t>A91 Partners, Kedaara Capital</t>
  </si>
  <si>
    <t>CloudLabs</t>
  </si>
  <si>
    <t>Grocery</t>
  </si>
  <si>
    <t>A91 Partners, Sequoia Capital India</t>
  </si>
  <si>
    <t>SmartTech</t>
  </si>
  <si>
    <t>Info Edge, Lightspeed India</t>
  </si>
  <si>
    <t>August</t>
  </si>
  <si>
    <t>Prosus Ventures, Ribbit Capital</t>
  </si>
  <si>
    <t>Bounce</t>
  </si>
  <si>
    <t>Analytics</t>
  </si>
  <si>
    <t>Sequoia Capital India</t>
  </si>
  <si>
    <t>HomeMart</t>
  </si>
  <si>
    <t>Supply Chain</t>
  </si>
  <si>
    <t>Kedaara Capital, Lightspeed India</t>
  </si>
  <si>
    <t>NimbusLabs</t>
  </si>
  <si>
    <t>Telemedicine</t>
  </si>
  <si>
    <t>SmartMart_37</t>
  </si>
  <si>
    <t>A91 Partners, Falcon Edge, SoftBank Vision Fund</t>
  </si>
  <si>
    <t>Blume Ventures, Info Edge</t>
  </si>
  <si>
    <t>Elevation Capital, Ribbit Capital</t>
  </si>
  <si>
    <t>Dunzo</t>
  </si>
  <si>
    <t>Content</t>
  </si>
  <si>
    <t>Accel, Nexus Venture Partners</t>
  </si>
  <si>
    <t>AeroHub</t>
  </si>
  <si>
    <t>Social</t>
  </si>
  <si>
    <t>Mirae Asset, Tiger Global</t>
  </si>
  <si>
    <t>QuantumDrive</t>
  </si>
  <si>
    <t>Sequoia Capital India, Y Combinator</t>
  </si>
  <si>
    <t>Series D</t>
  </si>
  <si>
    <t>AgriFit</t>
  </si>
  <si>
    <t>LCatterton, Mirae Asset</t>
  </si>
  <si>
    <t>SkillFlow</t>
  </si>
  <si>
    <t>Kedaara Capital, Zodius Capital</t>
  </si>
  <si>
    <t>FreshSolutions</t>
  </si>
  <si>
    <t>DriveLoop</t>
  </si>
  <si>
    <t>Audio</t>
  </si>
  <si>
    <t>Info Edge</t>
  </si>
  <si>
    <t>BlueSpace</t>
  </si>
  <si>
    <t>NextFlow</t>
  </si>
  <si>
    <t>E-commerce</t>
  </si>
  <si>
    <t>Quick Commerce</t>
  </si>
  <si>
    <t>Bridge</t>
  </si>
  <si>
    <t>MediWorks</t>
  </si>
  <si>
    <t>Matrix Partners India, Omidyar Network, Y Combinator</t>
  </si>
  <si>
    <t>Porter</t>
  </si>
  <si>
    <t>A91 Partners</t>
  </si>
  <si>
    <t>UrbanSolutions</t>
  </si>
  <si>
    <t>Elevation Capital, Kedaara Capital, Matrix Partners India</t>
  </si>
  <si>
    <t>Falcon Edge, SoftBank Vision Fund, Y Combinator</t>
  </si>
  <si>
    <t>Info Edge, Kedaara Capital</t>
  </si>
  <si>
    <t>IFC, Matrix Partners India</t>
  </si>
  <si>
    <t>Unacademy</t>
  </si>
  <si>
    <t>Prosus Ventures, SoftBank Vision Fund</t>
  </si>
  <si>
    <t>Elevation Capital</t>
  </si>
  <si>
    <t>SkillSolutions</t>
  </si>
  <si>
    <t>A91 Partners, Matrix Partners India</t>
  </si>
  <si>
    <t>Elevation Capital, Prosus Ventures</t>
  </si>
  <si>
    <t>Nykaa</t>
  </si>
  <si>
    <t>Smart Home</t>
  </si>
  <si>
    <t>Kedaara Capital, SoftBank Vision Fund</t>
  </si>
  <si>
    <t>Peak XV, Prosus Ventures</t>
  </si>
  <si>
    <t>Accel, Elevation Capital</t>
  </si>
  <si>
    <t>Accel, Sequoia Capital India</t>
  </si>
  <si>
    <t>HealthAnalytics</t>
  </si>
  <si>
    <t>Accel, Tiger Global</t>
  </si>
  <si>
    <t>NeoLabs_65</t>
  </si>
  <si>
    <t>Accel, Peak XV</t>
  </si>
  <si>
    <t>QuantumAnalytics</t>
  </si>
  <si>
    <t>Omidyar Network, Ribbit Capital</t>
  </si>
  <si>
    <t>Practo</t>
  </si>
  <si>
    <t>Matrix Partners India</t>
  </si>
  <si>
    <t>Elevation Capital, Matrix Partners India</t>
  </si>
  <si>
    <t>Bessemer Venture Partners, Lightspeed India, Omidyar Network</t>
  </si>
  <si>
    <t>Dream11</t>
  </si>
  <si>
    <t>InMobi</t>
  </si>
  <si>
    <t>Accel, Mirae Asset</t>
  </si>
  <si>
    <t>Razorpay</t>
  </si>
  <si>
    <t>DataAnalytics</t>
  </si>
  <si>
    <t>Home Services</t>
  </si>
  <si>
    <t>Mirae Asset</t>
  </si>
  <si>
    <t>Mirae Asset, Tiger Global Management</t>
  </si>
  <si>
    <t>HRTech</t>
  </si>
  <si>
    <t>Elevation Capital, Kedaara Capital</t>
  </si>
  <si>
    <t>FoodFit</t>
  </si>
  <si>
    <t>Nexus Venture Partners</t>
  </si>
  <si>
    <t>CoreConnect</t>
  </si>
  <si>
    <t>Chargebee</t>
  </si>
  <si>
    <t>Peak XV</t>
  </si>
  <si>
    <t>Dailyhunt</t>
  </si>
  <si>
    <t>Bessemer Venture Partners, Kedaara Capital</t>
  </si>
  <si>
    <t>FreshTech</t>
  </si>
  <si>
    <t>Kalaari Capital, Kedaara Capital</t>
  </si>
  <si>
    <t>AgriHive</t>
  </si>
  <si>
    <t>Falcon Edge, IFC</t>
  </si>
  <si>
    <t>CRED</t>
  </si>
  <si>
    <t>Zodius Capital</t>
  </si>
  <si>
    <t>Automation</t>
  </si>
  <si>
    <t>LCatterton, Tiger Global Management, Y Combinator</t>
  </si>
  <si>
    <t>IFC, Tiger Global Management</t>
  </si>
  <si>
    <t>Accel, Prosus Ventures, SoftBank Vision Fund</t>
  </si>
  <si>
    <t>Ribbit Capital, Tiger Global</t>
  </si>
  <si>
    <t>Accel, Blume Ventures, Kedaara Capital</t>
  </si>
  <si>
    <t>Delhivery</t>
  </si>
  <si>
    <t>Payments</t>
  </si>
  <si>
    <t>GreenConnect</t>
  </si>
  <si>
    <t>IFC, Ribbit Capital</t>
  </si>
  <si>
    <t>Matrix Partners India, Sequoia Capital India</t>
  </si>
  <si>
    <t>AutoMart</t>
  </si>
  <si>
    <t>LCatterton, Zodius Capital</t>
  </si>
  <si>
    <t>Nexus Venture Partners, Prosus Ventures, Ventures India</t>
  </si>
  <si>
    <t>Wakefit</t>
  </si>
  <si>
    <t>Omidyar Network</t>
  </si>
  <si>
    <t>LogiSense</t>
  </si>
  <si>
    <t>IFC, Y Combinator</t>
  </si>
  <si>
    <t>AeroAnalytics</t>
  </si>
  <si>
    <t>Elevation Capital, Tiger Global Management</t>
  </si>
  <si>
    <t>Kedaara Capital, Tiger Global Management</t>
  </si>
  <si>
    <t>Ventures India, Y Combinator</t>
  </si>
  <si>
    <t>Smart Farming</t>
  </si>
  <si>
    <t>IFC, Sequoia Capital India</t>
  </si>
  <si>
    <t>NeoSense</t>
  </si>
  <si>
    <t>Kalaari Capital, Nexus Venture Partners, Peak XV</t>
  </si>
  <si>
    <t>Oyo</t>
  </si>
  <si>
    <t>Kalaari Capital</t>
  </si>
  <si>
    <t>Accel, Blume Ventures, Kalaari Capital</t>
  </si>
  <si>
    <t>NeoLabs</t>
  </si>
  <si>
    <t>Bessemer Venture Partners, Omidyar Network, Sequoia Capital India</t>
  </si>
  <si>
    <t>PharmEasy</t>
  </si>
  <si>
    <t>AutoStack</t>
  </si>
  <si>
    <t>PhonePe</t>
  </si>
  <si>
    <t>EduMart</t>
  </si>
  <si>
    <t>Bessemer Venture Partners, Tiger Global</t>
  </si>
  <si>
    <t>Accel, Info Edge</t>
  </si>
  <si>
    <t>Accel, Kedaara Capital</t>
  </si>
  <si>
    <t>GreenEdge</t>
  </si>
  <si>
    <t>FreshBox</t>
  </si>
  <si>
    <t>B2B SaaS</t>
  </si>
  <si>
    <t>Tiger Global Management, Zodius Capital</t>
  </si>
  <si>
    <t>GrowthFlow</t>
  </si>
  <si>
    <t>LCatterton, Ventures India, Y Combinator</t>
  </si>
  <si>
    <t>BlueTech</t>
  </si>
  <si>
    <t>Accel, Falcon Edge, Tiger Global Management</t>
  </si>
  <si>
    <t>IFC, Omidyar Network</t>
  </si>
  <si>
    <t>Info Edge, Mirae Asset</t>
  </si>
  <si>
    <t>Mirae Asset, Prosus Ventures</t>
  </si>
  <si>
    <t>FarmFit</t>
  </si>
  <si>
    <t>Ventures India</t>
  </si>
  <si>
    <t>CloudSolutions</t>
  </si>
  <si>
    <t>LCatterton, Sequoia Capital India, Tiger Global</t>
  </si>
  <si>
    <t>Lenskart</t>
  </si>
  <si>
    <t>HomeAnalytics</t>
  </si>
  <si>
    <t>Bessemer Venture Partners, Lightspeed India</t>
  </si>
  <si>
    <t>A91 Partners, Mirae Asset</t>
  </si>
  <si>
    <t>Info Edge, Mirae Asset, SoftBank Vision Fund</t>
  </si>
  <si>
    <t>SoftBank Vision Fund</t>
  </si>
  <si>
    <t>EduBox_144</t>
  </si>
  <si>
    <t>Info Edge, LCatterton, Zodius Capital</t>
  </si>
  <si>
    <t>FinFoods</t>
  </si>
  <si>
    <t>DataHive</t>
  </si>
  <si>
    <t>Falcon Edge, Tiger Global Management</t>
  </si>
  <si>
    <t>WorkStack_149</t>
  </si>
  <si>
    <t>Nexus Venture Partners, Omidyar Network, Tiger Global Management</t>
  </si>
  <si>
    <t>HealthRise</t>
  </si>
  <si>
    <t>Kalaari Capital, Omidyar Network, Peak XV</t>
  </si>
  <si>
    <t>Accel, LCatterton, Tiger Global Management</t>
  </si>
  <si>
    <t>Myntra</t>
  </si>
  <si>
    <t>GrowthConnect</t>
  </si>
  <si>
    <t>Elevation Capital, Info Edge, Matrix Partners India</t>
  </si>
  <si>
    <t>Prosus Ventures</t>
  </si>
  <si>
    <t>FinSense</t>
  </si>
  <si>
    <t>Elevation Capital, IFC, Zodius Capital</t>
  </si>
  <si>
    <t>BharatPe</t>
  </si>
  <si>
    <t>WealthTech</t>
  </si>
  <si>
    <t>FinSense_162</t>
  </si>
  <si>
    <t>LCatterton, Omidyar Network</t>
  </si>
  <si>
    <t>Accel, Falcon Edge</t>
  </si>
  <si>
    <t>Cars24</t>
  </si>
  <si>
    <t>Cloud Kitchen</t>
  </si>
  <si>
    <t>Blume Ventures, Prosus Ventures</t>
  </si>
  <si>
    <t>ShareChat</t>
  </si>
  <si>
    <t>Ribbit Capital, SoftBank Vision Fund</t>
  </si>
  <si>
    <t>SmartMart</t>
  </si>
  <si>
    <t>Bessemer Venture Partners, Elevation Capital, Info Edge</t>
  </si>
  <si>
    <t>Mirae Asset, Sequoia Capital India</t>
  </si>
  <si>
    <t>NextStack</t>
  </si>
  <si>
    <t>AgriSense</t>
  </si>
  <si>
    <t>EduMart_176</t>
  </si>
  <si>
    <t>Peak XV, Tiger Global, Tiger Global Management</t>
  </si>
  <si>
    <t>Info Edge, Prosus Ventures</t>
  </si>
  <si>
    <t>FreshSolutions_178</t>
  </si>
  <si>
    <t>Nexus Venture Partners, Sequoia Capital India</t>
  </si>
  <si>
    <t>EduBox</t>
  </si>
  <si>
    <t>MarTech</t>
  </si>
  <si>
    <t>Bessemer Venture Partners, Nexus Venture Partners</t>
  </si>
  <si>
    <t>D2C</t>
  </si>
  <si>
    <t>CloudPay</t>
  </si>
  <si>
    <t>Kalaari Capital, Mirae Asset</t>
  </si>
  <si>
    <t>IFC, SoftBank Vision Fund</t>
  </si>
  <si>
    <t>Diagnostics</t>
  </si>
  <si>
    <t>Bessemer Venture Partners, Lightspeed India, Matrix Partners India</t>
  </si>
  <si>
    <t>SkillRise</t>
  </si>
  <si>
    <t>Lightspeed India, Omidyar Network</t>
  </si>
  <si>
    <t>A91 Partners, SoftBank Vision Fund</t>
  </si>
  <si>
    <t>Blume Ventures, Kedaara Capital</t>
  </si>
  <si>
    <t>DriveFit</t>
  </si>
  <si>
    <t>CoreSpace</t>
  </si>
  <si>
    <t>Kalaari Capital, Tiger Global, Y Combinator</t>
  </si>
  <si>
    <t>WorkStack</t>
  </si>
  <si>
    <t>FoodLoop</t>
  </si>
  <si>
    <t>Falcon Edge, Kedaara Capital</t>
  </si>
  <si>
    <t>Bessemer Venture Partners, Omidyar Network</t>
  </si>
  <si>
    <t>HomeMart_208</t>
  </si>
  <si>
    <t>Nexus Venture Partners, Prosus Ventures</t>
  </si>
  <si>
    <t>Flipkart</t>
  </si>
  <si>
    <t>Lightspeed India, Nexus Venture Partners, Tiger Global</t>
  </si>
  <si>
    <t>LCatterton, SoftBank Vision Fund</t>
  </si>
  <si>
    <t>Peak XV, Zodius Capital</t>
  </si>
  <si>
    <t>Lightspeed India, Matrix Partners India, Mirae Asset</t>
  </si>
  <si>
    <t>Matrix Partners India, Tiger Global</t>
  </si>
  <si>
    <t>Zepto</t>
  </si>
  <si>
    <t>Mirae Asset, Nexus Venture Partners, Prosus Ventures</t>
  </si>
  <si>
    <t>HealthWorks</t>
  </si>
  <si>
    <t>LCatterton</t>
  </si>
  <si>
    <t>NoBroker</t>
  </si>
  <si>
    <t>Blume Ventures, Ventures India</t>
  </si>
  <si>
    <t>LogiRise</t>
  </si>
  <si>
    <t>Accel, IFC</t>
  </si>
  <si>
    <t>LCatterton, Lightspeed India</t>
  </si>
  <si>
    <t>Accel, Falcon Edge, Omidyar Network</t>
  </si>
  <si>
    <t>NimbusMart</t>
  </si>
  <si>
    <t>SoftBank Vision Fund, Tiger Global</t>
  </si>
  <si>
    <t>IFC, Nexus Venture Partners</t>
  </si>
  <si>
    <t>FoodSolutions</t>
  </si>
  <si>
    <t>IFC, Ventures India</t>
  </si>
  <si>
    <t>Kedaara Capital, Omidyar Network</t>
  </si>
  <si>
    <t>Postman</t>
  </si>
  <si>
    <t>Info Edge, LCatterton, Ribbit Capital</t>
  </si>
  <si>
    <t>NimbusLabs_243</t>
  </si>
  <si>
    <t>Nexus Venture Partners, Y Combinator</t>
  </si>
  <si>
    <t>Accel, Info Edge, Y Combinator</t>
  </si>
  <si>
    <t>FinFoods_246</t>
  </si>
  <si>
    <t>SoftBank Vision Fund, Ventures India</t>
  </si>
  <si>
    <t>WorkPay_256</t>
  </si>
  <si>
    <t>LCatterton, Peak XV, Prosus Ventures</t>
  </si>
  <si>
    <t>SmartTech_258</t>
  </si>
  <si>
    <t>IFC, Lightspeed India, Prosus Ventures</t>
  </si>
  <si>
    <t>GreenMart</t>
  </si>
  <si>
    <t>WorkFit</t>
  </si>
  <si>
    <t>UrbanDrive</t>
  </si>
  <si>
    <t>Falcon Edge, Kedaara Capital, Tiger Global Management</t>
  </si>
  <si>
    <t>Peak XV, Ventures India</t>
  </si>
  <si>
    <t>A91 Partners, Lightspeed India</t>
  </si>
  <si>
    <t>Blume Ventures, Kalaari Capital, Y Combinator</t>
  </si>
  <si>
    <t>DataEdge</t>
  </si>
  <si>
    <t>Blume Ventures, Matrix Partners India</t>
  </si>
  <si>
    <t>Bessemer Venture Partners, Y Combinator</t>
  </si>
  <si>
    <t>Nexus Venture Partners, SoftBank Vision Fund, Tiger Global Management</t>
  </si>
  <si>
    <t>A91 Partners, Matrix Partners India, Mirae Asset</t>
  </si>
  <si>
    <t>Bessemer Venture Partners, Zodius Capital</t>
  </si>
  <si>
    <t>Falcon Edge, Omidyar Network</t>
  </si>
  <si>
    <t>Ribbit Capital, SoftBank Vision Fund, Tiger Global Management</t>
  </si>
  <si>
    <t>Paytm</t>
  </si>
  <si>
    <t>A91 Partners, Falcon Edge, Omidyar Network</t>
  </si>
  <si>
    <t>Elevation Capital, Kedaara Capital, SoftBank Vision Fund</t>
  </si>
  <si>
    <t>Kalaari Capital, Ventures India</t>
  </si>
  <si>
    <t>BlueRise</t>
  </si>
  <si>
    <t>Byju's</t>
  </si>
  <si>
    <t>Elevation Capital, Kedaara Capital, Omidyar Network</t>
  </si>
  <si>
    <t>Kedaara Capital, Ribbit Capital</t>
  </si>
  <si>
    <t>Sequoia Capital India, Ventures India</t>
  </si>
  <si>
    <t>A91 Partners, Bessemer Venture Partners</t>
  </si>
  <si>
    <t>Kedaara Capital, Ribbit Capital, Y Combinator</t>
  </si>
  <si>
    <t>Prosus Ventures, Tiger Global Management</t>
  </si>
  <si>
    <t>IFC, Matrix Partners India, Nexus Venture Partners</t>
  </si>
  <si>
    <t>Info Edge, Kalaari Capital, Matrix Partners India</t>
  </si>
  <si>
    <t>Prosus Ventures, Tiger Global, Y Combinator</t>
  </si>
  <si>
    <t>Peak XV, Sequoia Capital India</t>
  </si>
  <si>
    <t>Kedaara Capital, Mirae Asset</t>
  </si>
  <si>
    <t>HyperSpace</t>
  </si>
  <si>
    <t>Info Edge, Ribbit Capital</t>
  </si>
  <si>
    <t>Meesho</t>
  </si>
  <si>
    <t>Info Edge, LCatterton, Lightspeed India</t>
  </si>
  <si>
    <t>Elevation Capital, Peak XV</t>
  </si>
  <si>
    <t>Urban Company</t>
  </si>
  <si>
    <t>A91 Partners, IFC</t>
  </si>
  <si>
    <t>Falcon Edge, Ribbit Capital</t>
  </si>
  <si>
    <t>FreshTech_329</t>
  </si>
  <si>
    <t>Ribbit Capital, Ventures India</t>
  </si>
  <si>
    <t>Nexus Venture Partners, Omidyar Network</t>
  </si>
  <si>
    <t>Matrix Partners India, Ventures India, Y Combinator</t>
  </si>
  <si>
    <t>Kedaara Capital, Tiger Global</t>
  </si>
  <si>
    <t>UrbanStack</t>
  </si>
  <si>
    <t>Falcon Edge, Y Combinator</t>
  </si>
  <si>
    <t>Bessemer Venture Partners, Tiger Global Management</t>
  </si>
  <si>
    <t>IFC, Peak XV, Sequoia Capital India</t>
  </si>
  <si>
    <t>SmartCare</t>
  </si>
  <si>
    <t>Kedaara Capital, Y Combinator</t>
  </si>
  <si>
    <t>Info Edge, LCatterton, Nexus Venture Partners</t>
  </si>
  <si>
    <t>Kalaari Capital, Prosus Ventures, Sequoia Capital India</t>
  </si>
  <si>
    <t>Licious</t>
  </si>
  <si>
    <t>Elevation Capital, SoftBank Vision Fund</t>
  </si>
  <si>
    <t>Omidyar Network, Y Combinator</t>
  </si>
  <si>
    <t>Kedaara Capital, Nexus Venture Partners</t>
  </si>
  <si>
    <t>FreshToHome</t>
  </si>
  <si>
    <t>Accel, Kalaari Capital, Peak XV</t>
  </si>
  <si>
    <t>Blume Ventures, Peak XV, Ribbit Capital</t>
  </si>
  <si>
    <t>Omidyar Network, Sequoia Capital India</t>
  </si>
  <si>
    <t>Peak XV, Tiger Global Management</t>
  </si>
  <si>
    <t>DriveEdge</t>
  </si>
  <si>
    <t>A91 Partners, Peak XV</t>
  </si>
  <si>
    <t>Info Edge, Y Combinator</t>
  </si>
  <si>
    <t>Tiger Global, Ventures India</t>
  </si>
  <si>
    <t>Lightspeed India, Tiger Global</t>
  </si>
  <si>
    <t>Elevation Capital, Kalaari Capital</t>
  </si>
  <si>
    <t>Blume Ventures, Tiger Global Management</t>
  </si>
  <si>
    <t>Info Edge, Ribbit Capital, Tiger Global Management</t>
  </si>
  <si>
    <t>Blume Ventures, Ribbit Capital</t>
  </si>
  <si>
    <t>NextSense_395</t>
  </si>
  <si>
    <t>Omidyar Network, Sequoia Capital India, Y Combinator</t>
  </si>
  <si>
    <t>MediSpace</t>
  </si>
  <si>
    <t>BigBasket</t>
  </si>
  <si>
    <t>NimbusWorks</t>
  </si>
  <si>
    <t>Tiger Global, Tiger Global Management</t>
  </si>
  <si>
    <t>Kedaara Capital, Prosus Ventures, Ribbit Capital</t>
  </si>
  <si>
    <t>Accel, Blume Ventures, IFC</t>
  </si>
  <si>
    <t>Lightspeed India, Y Combinator</t>
  </si>
  <si>
    <t>IFC, Lightspeed India, Ventures India</t>
  </si>
  <si>
    <t>LCatterton, Tiger Global Management</t>
  </si>
  <si>
    <t>Lightspeed India, Sequoia Capital India</t>
  </si>
  <si>
    <t>IFC, Ribbit Capital, Sequoia Capital India</t>
  </si>
  <si>
    <t>DataAnalytics_423</t>
  </si>
  <si>
    <t>AutoFlow</t>
  </si>
  <si>
    <t>Matrix Partners India, Ventures India</t>
  </si>
  <si>
    <t>GrowthCare</t>
  </si>
  <si>
    <t>ClearTax</t>
  </si>
  <si>
    <t>Falcon Edge, IFC, Ventures India</t>
  </si>
  <si>
    <t>Accel, Prosus Ventures</t>
  </si>
  <si>
    <t>QuantumSolutions_441</t>
  </si>
  <si>
    <t>A91 Partners, Info Edge</t>
  </si>
  <si>
    <t>Accel, Kalaari Capital, Ribbit Capital</t>
  </si>
  <si>
    <t>Accel, Info Edge, Prosus Ventures</t>
  </si>
  <si>
    <t>Accel, LCatterton, Mirae Asset</t>
  </si>
  <si>
    <t>Lightspeed India, Zodius Capital</t>
  </si>
  <si>
    <t>Bessemer Venture Partners, Info Edge, Omidyar Network</t>
  </si>
  <si>
    <t>A91 Partners, Falcon Edge, Zodius Capital</t>
  </si>
  <si>
    <t>Elevation Capital, Prosus Ventures, SoftBank Vision Fund</t>
  </si>
  <si>
    <t>A91 Partners, Bessemer Venture Partners, Matrix Partners India</t>
  </si>
  <si>
    <t>A91 Partners, Sequoia Capital India, SoftBank Vision Fund</t>
  </si>
  <si>
    <t>A91 Partners, Ribbit Capital, Ventures India</t>
  </si>
  <si>
    <t>Falcon Edge, Lightspeed India, Peak XV</t>
  </si>
  <si>
    <t>IFC, Zodius Capital</t>
  </si>
  <si>
    <t>Falcon Edge, Prosus Ventures</t>
  </si>
  <si>
    <t>Bessemer Venture Partners, IFC</t>
  </si>
  <si>
    <t>Peak XV, Ribbit Capital, Sequoia Capital India</t>
  </si>
  <si>
    <t>Elevation Capital, Ribbit Capital, Y Combinator</t>
  </si>
  <si>
    <t>Accel, Ribbit Capital</t>
  </si>
  <si>
    <t>Sequoia Capital India, Tiger Global</t>
  </si>
  <si>
    <t>A91 Partners, Blume Ventures</t>
  </si>
  <si>
    <t>Matrix Partners India, Zodius Capital</t>
  </si>
  <si>
    <t>Bessemer Venture Partners, LCatterton</t>
  </si>
  <si>
    <t>MediHive</t>
  </si>
  <si>
    <t>Blume Ventures, Elevation Capital, Nexus Venture Partners</t>
  </si>
  <si>
    <t>Lightspeed India, Peak XV, Zodius Capital</t>
  </si>
  <si>
    <t>Blume Ventures, Zodius Capital</t>
  </si>
  <si>
    <t>Info Edge, Peak XV</t>
  </si>
  <si>
    <t>A91 Partners, Info Edge, Matrix Partners India</t>
  </si>
  <si>
    <t>Accel, Bessemer Venture Partners, Kalaari Capital</t>
  </si>
  <si>
    <t>Omidyar Network, Tiger Global Management, Y Combinator</t>
  </si>
  <si>
    <t>Blume Ventures, Sequoia Capital India</t>
  </si>
  <si>
    <t>Falcon Edge, Kalaari Capital, Omidyar Network</t>
  </si>
  <si>
    <t>Tiger Global Management, Y Combinator</t>
  </si>
  <si>
    <t>IFC, Peak XV</t>
  </si>
  <si>
    <t>Ribbit Capital, Tiger Global Management</t>
  </si>
  <si>
    <t>IFC, Mirae Asset, Sequoia Capital India</t>
  </si>
  <si>
    <t>IFC, Mirae Asset</t>
  </si>
  <si>
    <t>Falcon Edge, Sequoia Capital India, SoftBank Vision Fund</t>
  </si>
  <si>
    <t>Prosus Ventures, Zodius Capital</t>
  </si>
  <si>
    <t>Bessemer Venture Partners, Blume Ventures, Nexus Venture Partners</t>
  </si>
  <si>
    <t>IFC, Tiger Global</t>
  </si>
  <si>
    <t>Elevation Capital, Matrix Partners India, Ribbit Capital</t>
  </si>
  <si>
    <t>Blume Ventures, IFC</t>
  </si>
  <si>
    <t>Nexus Venture Partners, Ribbit Capital</t>
  </si>
  <si>
    <t>A91 Partners, Falcon Edge, Ribbit Capital</t>
  </si>
  <si>
    <t>LCatterton, Ventures India</t>
  </si>
  <si>
    <t>Mirae Asset, SoftBank Vision Fund</t>
  </si>
  <si>
    <t>WorkPay_557</t>
  </si>
  <si>
    <t>Kalaari Capital, Lightspeed India</t>
  </si>
  <si>
    <t>DriveFit_560</t>
  </si>
  <si>
    <t>Nexus Venture Partners, Zodius Capital</t>
  </si>
  <si>
    <t>Accel, Lightspeed India, Ribbit Capital</t>
  </si>
  <si>
    <t>NeoSense_564</t>
  </si>
  <si>
    <t>Blume Ventures, Tiger Global, Y Combinator</t>
  </si>
  <si>
    <t>LCatterton, Mirae Asset, Nexus Venture Partners</t>
  </si>
  <si>
    <t>Blume Ventures, Y Combinator</t>
  </si>
  <si>
    <t>CloudSolutions_576</t>
  </si>
  <si>
    <t>Blume Ventures, IFC, Prosus Ventures</t>
  </si>
  <si>
    <t>LCatterton, Peak XV</t>
  </si>
  <si>
    <t>Accel, Mirae Asset, SoftBank Vision Fund</t>
  </si>
  <si>
    <t>Ribbit Capital, Sequoia Capital India</t>
  </si>
  <si>
    <t>QuantumAnalytics_589</t>
  </si>
  <si>
    <t>Falcon Edge, Tiger Global</t>
  </si>
  <si>
    <t>Lightspeed India, Ribbit Capital</t>
  </si>
  <si>
    <t>Bessemer Venture Partners, Prosus Ventures</t>
  </si>
  <si>
    <t>SmartTech_599</t>
  </si>
  <si>
    <t>SkillFlow_602</t>
  </si>
  <si>
    <t>IFC, Prosus Ventures</t>
  </si>
  <si>
    <t>Accel, Tiger Global Management</t>
  </si>
  <si>
    <t>Kalaari Capital, Matrix Partners India, Tiger Global Management</t>
  </si>
  <si>
    <t>Bessemer Venture Partners, Elevation Capital, Peak XV</t>
  </si>
  <si>
    <t>Kalaari Capital, Kedaara Capital, Zodius Capital</t>
  </si>
  <si>
    <t>Info Edge, Sequoia Capital India</t>
  </si>
  <si>
    <t>Bessemer Venture Partners, Kedaara Capital, Nexus Venture Partners</t>
  </si>
  <si>
    <t>Blume Ventures, IFC, Nexus Venture Partners</t>
  </si>
  <si>
    <t>GreenConnect_630</t>
  </si>
  <si>
    <t>Elevation Capital, Zodius Capital</t>
  </si>
  <si>
    <t>Elevation Capital, Kedaara Capital, Prosus Ventures</t>
  </si>
  <si>
    <t>Tiger Global, Y Combinator</t>
  </si>
  <si>
    <t>A91 Partners, Falcon Edge, Tiger Global</t>
  </si>
  <si>
    <t>Blume Ventures, SoftBank Vision Fund</t>
  </si>
  <si>
    <t>FreshTech_651</t>
  </si>
  <si>
    <t>A91 Partners, Bessemer Venture Partners, Blume Ventures</t>
  </si>
  <si>
    <t>Accel, Tiger Global, Y Combinator</t>
  </si>
  <si>
    <t>Info Edge, Mirae Asset, Prosus Ventures</t>
  </si>
  <si>
    <t>Matrix Partners India, Y Combinator</t>
  </si>
  <si>
    <t>Kalaari Capital, Ribbit Capital</t>
  </si>
  <si>
    <t>Info Edge, Tiger Global Management</t>
  </si>
  <si>
    <t>Accel, Zodius Capital</t>
  </si>
  <si>
    <t>A91 Partners, Y Combinator</t>
  </si>
  <si>
    <t>Kedaara Capital, Mirae Asset, Sequoia Capital India</t>
  </si>
  <si>
    <t>Kedaara Capital, LCatterton</t>
  </si>
  <si>
    <t>Mirae Asset, Y Combinator</t>
  </si>
  <si>
    <t>Accel, Peak XV, Ribbit Capital</t>
  </si>
  <si>
    <t>Kedaara Capital, Ventures India</t>
  </si>
  <si>
    <t>Ribbit Capital, Tiger Global Management, Zodius Capital</t>
  </si>
  <si>
    <t>CloudSolutions_682</t>
  </si>
  <si>
    <t>Blume Ventures, Falcon Edge</t>
  </si>
  <si>
    <t>Elevation Capital, Ventures India</t>
  </si>
  <si>
    <t>Falcon Edge, Nexus Venture Partners</t>
  </si>
  <si>
    <t>Accel, Falcon Edge, Peak XV</t>
  </si>
  <si>
    <t>Blume Ventures, Info Edge, Sequoia Capital India</t>
  </si>
  <si>
    <t>Mirae Asset, Ribbit Capital</t>
  </si>
  <si>
    <t>Bessemer Venture Partners, Nexus Venture Partners, Tiger Global</t>
  </si>
  <si>
    <t>Blume Ventures, Nexus Venture Partners, Tiger Global</t>
  </si>
  <si>
    <t>Tiger Global, Zodius Capital</t>
  </si>
  <si>
    <t>Kalaari Capital, LCatterton, Ribbit Capital</t>
  </si>
  <si>
    <t>Bessemer Venture Partners, Blume Ventures</t>
  </si>
  <si>
    <t>Omidyar Network, SoftBank Vision Fund</t>
  </si>
  <si>
    <t>Falcon Edge, Sequoia Capital India, Ventures India</t>
  </si>
  <si>
    <t>Mirae Asset, Nexus Venture Partners</t>
  </si>
  <si>
    <t>LCatterton, SoftBank Vision Fund, Tiger Global</t>
  </si>
  <si>
    <t>Falcon Edge, Mirae Asset</t>
  </si>
  <si>
    <t>Prosus Ventures, Y Combinator</t>
  </si>
  <si>
    <t>Lightspeed India, Nexus Venture Partners</t>
  </si>
  <si>
    <t>FinFoods_744</t>
  </si>
  <si>
    <t>Elevation Capital, Nexus Venture Partners</t>
  </si>
  <si>
    <t>Kedaara Capital, Peak XV</t>
  </si>
  <si>
    <t>A91 Partners, Kalaari Capital, SoftBank Vision Fund</t>
  </si>
  <si>
    <t>Bessemer Venture Partners, Falcon Edge</t>
  </si>
  <si>
    <t>Prosus Ventures, Tiger Global Management, Zodius Capital</t>
  </si>
  <si>
    <t>Accel, Blume Ventures, Ventures India</t>
  </si>
  <si>
    <t>SmartCare_770</t>
  </si>
  <si>
    <t>Accel, Sequoia Capital India, Ventures India</t>
  </si>
  <si>
    <t>Mirae Asset, Omidyar Network</t>
  </si>
  <si>
    <t>AutoStack_777</t>
  </si>
  <si>
    <t>Peak XV, Y Combinator</t>
  </si>
  <si>
    <t>Kedaara Capital, Sequoia Capital India</t>
  </si>
  <si>
    <t>Mirae Asset, Ventures India</t>
  </si>
  <si>
    <t>HyperSpace_791</t>
  </si>
  <si>
    <t>Bessemer Venture Partners, Ventures India</t>
  </si>
  <si>
    <t>A91 Partners, Kalaari Capital, Ventures India</t>
  </si>
  <si>
    <t>Omidyar Network, Ribbit Capital, Ventures India</t>
  </si>
  <si>
    <t>Omidyar Network, SoftBank Vision Fund, Y Combinator</t>
  </si>
  <si>
    <t>SkillFlow_806</t>
  </si>
  <si>
    <t>A91 Partners, IFC, Kedaara Capital</t>
  </si>
  <si>
    <t>Kalaari Capital, LCatterton, Zodius Capital</t>
  </si>
  <si>
    <t>Info Edge, Peak XV, SoftBank Vision Fund</t>
  </si>
  <si>
    <t>Kalaari Capital, LCatterton</t>
  </si>
  <si>
    <t>IFC, Kalaari Capital, Sequoia Capital India</t>
  </si>
  <si>
    <t>Info Edge, Ventures India</t>
  </si>
  <si>
    <t>Kalaari Capital, Nexus Venture Partners, Ribbit Capital</t>
  </si>
  <si>
    <t>IFC, Prosus Ventures, Ventures India</t>
  </si>
  <si>
    <t>Lightspeed India, Peak XV</t>
  </si>
  <si>
    <t>HealthWorks_839</t>
  </si>
  <si>
    <t>Omidyar Network, Tiger Global Management, Ventures India</t>
  </si>
  <si>
    <t>FarmFit_840</t>
  </si>
  <si>
    <t>A91 Partners, Tiger Global Management, Y Combinator</t>
  </si>
  <si>
    <t>Blume Ventures, Info Edge, Ribbit Capital</t>
  </si>
  <si>
    <t>NimbusLabs_846</t>
  </si>
  <si>
    <t>Accel, IFC, Nexus Venture Partners</t>
  </si>
  <si>
    <t>LCatterton, Prosus Ventures</t>
  </si>
  <si>
    <t>HyperLoop_850</t>
  </si>
  <si>
    <t>Bessemer Venture Partners, LCatterton, Nexus Venture Partners</t>
  </si>
  <si>
    <t>Peak XV, Tiger Global, Y Combinator</t>
  </si>
  <si>
    <t>Info Edge, SoftBank Vision Fund, Tiger Global</t>
  </si>
  <si>
    <t>Accel, Mirae Asset, Ribbit Capital</t>
  </si>
  <si>
    <t>AeroAnalytics_861</t>
  </si>
  <si>
    <t>Kalaari Capital, Tiger Global</t>
  </si>
  <si>
    <t>Falcon Edge, Sequoia Capital India</t>
  </si>
  <si>
    <t>Mirae Asset, Omidyar Network, Tiger Global Management</t>
  </si>
  <si>
    <t>Kalaari Capital, Nexus Venture Partners</t>
  </si>
  <si>
    <t>IFC, Info Edge, Kalaari Capital</t>
  </si>
  <si>
    <t>Falcon Edge, Kalaari Capital</t>
  </si>
  <si>
    <t>Kedaara Capital, Sequoia Capital India, Y Combinator</t>
  </si>
  <si>
    <t>Mirae Asset, Ribbit Capital, Y Combinator</t>
  </si>
  <si>
    <t>Blume Ventures, Mirae Asset</t>
  </si>
  <si>
    <t>Matrix Partners India, SoftBank Vision Fund</t>
  </si>
  <si>
    <t>Accel, IFC, Omidyar Network</t>
  </si>
  <si>
    <t>Lightspeed India, Nexus Venture Partners, Y Combinator</t>
  </si>
  <si>
    <t>IFC, Kedaara Capital</t>
  </si>
  <si>
    <t>Matrix Partners India, Omidyar Network</t>
  </si>
  <si>
    <t>A91 Partners, Nexus Venture Partners, Y Combinator</t>
  </si>
  <si>
    <t>Accel, Lightspeed India</t>
  </si>
  <si>
    <t>Falcon Edge, Info Edge, Tiger Global Management</t>
  </si>
  <si>
    <t>Elevation Capital, Falcon Edge</t>
  </si>
  <si>
    <t>NeoLabs_904</t>
  </si>
  <si>
    <t>Kalaari Capital, Matrix Partners India</t>
  </si>
  <si>
    <t>A91 Partners, Tiger Global</t>
  </si>
  <si>
    <t>Matrix Partners India, Prosus Ventures</t>
  </si>
  <si>
    <t>Info Edge, Matrix Partners India, Tiger Global Management</t>
  </si>
  <si>
    <t>LCatterton, Omidyar Network, Sequoia Capital India</t>
  </si>
  <si>
    <t>Ribbit Capital, Zodius Capital</t>
  </si>
  <si>
    <t>Omidyar Network, Prosus Ventures</t>
  </si>
  <si>
    <t>AutoFlow_933</t>
  </si>
  <si>
    <t>Kalaari Capital, Zodius Capital</t>
  </si>
  <si>
    <t>Elevation Capital, Kalaari Capital, Lightspeed India</t>
  </si>
  <si>
    <t>Info Edge, Nexus Venture Partners, Tiger Global Management</t>
  </si>
  <si>
    <t>Omidyar Network, Tiger Global</t>
  </si>
  <si>
    <t>Falcon Edge, Mirae Asset, Y Combinator</t>
  </si>
  <si>
    <t>Matrix Partners India, Nexus Venture Partners, Zodius Capital</t>
  </si>
  <si>
    <t>LogiMart_960</t>
  </si>
  <si>
    <t>Mirae Asset, Peak XV</t>
  </si>
  <si>
    <t>Lightspeed India, Matrix Partners India, Omidyar Network</t>
  </si>
  <si>
    <t>Prosus Ventures, Ventures India</t>
  </si>
  <si>
    <t>Elevation Capital, Sequoia Capital India</t>
  </si>
  <si>
    <t>SmartMart_989</t>
  </si>
  <si>
    <t>IFC, Kalaari Capital</t>
  </si>
  <si>
    <t>Accel, Kalaari Capital, Ventures India</t>
  </si>
  <si>
    <t>Falcon Edge, Info Edge, Tiger Global</t>
  </si>
  <si>
    <t>Blume Ventures, Kalaari Capital</t>
  </si>
  <si>
    <t>Info Edge, Kalaari Capital, SoftBank Vision Fund</t>
  </si>
  <si>
    <t>IFC, Mirae Asset, SoftBank Vision Fund</t>
  </si>
  <si>
    <t>WorkStack_1002</t>
  </si>
  <si>
    <t>Omidyar Network, Peak XV, Sequoia Capital India</t>
  </si>
  <si>
    <t>Info Edge, SoftBank Vision Fund</t>
  </si>
  <si>
    <t>MediHive_1008</t>
  </si>
  <si>
    <t>IFC, Lightspeed India, Mirae Asset</t>
  </si>
  <si>
    <t>Info Edge, Omidyar Network</t>
  </si>
  <si>
    <t>Bessemer Venture Partners, Peak XV</t>
  </si>
  <si>
    <t>Bessemer Venture Partners, Sequoia Capital India, Zodius Capital</t>
  </si>
  <si>
    <t>Kedaara Capital, Lightspeed India, Ventures India</t>
  </si>
  <si>
    <t>Blume Ventures, Matrix Partners India, Ventures India</t>
  </si>
  <si>
    <t>MediSpace_1029</t>
  </si>
  <si>
    <t>Kalaari Capital, Mirae Asset, Prosus Ventures</t>
  </si>
  <si>
    <t>FinFoods_1034</t>
  </si>
  <si>
    <t>Nexus Venture Partners, Peak XV, Prosus Ventures</t>
  </si>
  <si>
    <t>Bessemer Venture Partners, Kedaara Capital, Prosus Ventures</t>
  </si>
  <si>
    <t>Mirae Asset, Zodius Capital</t>
  </si>
  <si>
    <t>A91 Partners, Kedaara Capital, LCatterton</t>
  </si>
  <si>
    <t>Elevation Capital, Omidyar Network, Prosus Ventures</t>
  </si>
  <si>
    <t>Peak XV, Ribbit Capital</t>
  </si>
  <si>
    <t>Info Edge, Ribbit Capital, Y Combinator</t>
  </si>
  <si>
    <t>Elevation Capital, Kedaara Capital, Nexus Venture Partners</t>
  </si>
  <si>
    <t>NeoSense_1062</t>
  </si>
  <si>
    <t>NeoLabs_1063</t>
  </si>
  <si>
    <t>Nexus Venture Partners, Tiger Global Management, Ventures India</t>
  </si>
  <si>
    <t>Kedaara Capital, Tiger Global Management, Ventures India</t>
  </si>
  <si>
    <t>LCatterton, Matrix Partners India, Ribbit Capital</t>
  </si>
  <si>
    <t>Sequoia Capital India, Zodius Capital</t>
  </si>
  <si>
    <t>Kedaara Capital, LCatterton, Tiger Global Management</t>
  </si>
  <si>
    <t>CoreConnect_1085</t>
  </si>
  <si>
    <t>Blume Ventures, LCatterton</t>
  </si>
  <si>
    <t>SoftBank Vision Fund, Y Combinator</t>
  </si>
  <si>
    <t>HealthAnalytics_1095</t>
  </si>
  <si>
    <t>Lightspeed India, Mirae Asset, Prosus Ventures</t>
  </si>
  <si>
    <t>Count of Startup</t>
  </si>
  <si>
    <t>Sum of InvestmentAmount_USD</t>
  </si>
  <si>
    <t>Average of InvestmentAmount_USD2</t>
  </si>
  <si>
    <t>Max of InvestmentAmount_USD2</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</si>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</sst>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B&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7030A0"/>
        </patternFill>
      </fill>
    </dxf>
    <dxf>
      <fill>
        <patternFill>
          <bgColor rgb="FF9900CC"/>
        </patternFill>
      </fill>
      <border diagonalUp="0" diagonalDown="0">
        <left/>
        <right/>
        <top/>
        <bottom/>
        <vertical/>
        <horizontal/>
      </border>
    </dxf>
    <dxf>
      <fill>
        <patternFill>
          <bgColor rgb="FFCC66FF"/>
        </patternFill>
      </fill>
    </dxf>
    <dxf>
      <fill>
        <patternFill>
          <bgColor rgb="FF7030A0"/>
        </patternFill>
      </fill>
      <border diagonalUp="0" diagonalDown="0">
        <left/>
        <right/>
        <top/>
        <bottom/>
        <vertical/>
        <horizontal/>
      </border>
    </dxf>
  </dxfs>
  <tableStyles count="6" defaultTableStyle="TableStyleMedium2" defaultPivotStyle="PivotStyleLight16">
    <tableStyle name="new sliceer" pivot="0" table="0" count="0" xr9:uid="{679C86AC-AAF6-49BB-B7EA-DFC0C18C42E0}"/>
    <tableStyle name="Slicer Style 1" pivot="0" table="0" count="1" xr9:uid="{0C911E3D-0A95-4DE6-A28D-45E3910A8ADD}">
      <tableStyleElement type="wholeTable" dxfId="14"/>
    </tableStyle>
    <tableStyle name="Slicer Style 2" pivot="0" table="0" count="1" xr9:uid="{280AF703-A7B0-4AA8-BFE4-034C008AEB83}">
      <tableStyleElement type="wholeTable" dxfId="13"/>
    </tableStyle>
    <tableStyle name="Slicer Style 3" pivot="0" table="0" count="1" xr9:uid="{21AD1186-6AD3-4047-8244-5735A6707D7F}">
      <tableStyleElement type="wholeTable" dxfId="12"/>
    </tableStyle>
    <tableStyle name="Slicer Style 4" pivot="0" table="0" count="1" xr9:uid="{23B10EDC-9FEF-4397-9B4B-C5C05036B3F6}"/>
    <tableStyle name="Slicer Style 5" pivot="0" table="0" count="3" xr9:uid="{10D63473-6463-49B8-B3D8-A3F9356F7D6D}">
      <tableStyleElement type="wholeTable" dxfId="11"/>
    </tableStyle>
  </tableStyles>
  <colors>
    <mruColors>
      <color rgb="FFCC66FF"/>
      <color rgb="FF9900CC"/>
      <color rgb="FF29C6DB"/>
      <color rgb="FFA365D1"/>
      <color rgb="FFCA6CCA"/>
      <color rgb="FF8D42C6"/>
      <color rgb="FFFA0AFA"/>
      <color rgb="FFE97F7F"/>
      <color rgb="FF7DEB7D"/>
      <color rgb="FFA568D2"/>
    </mruColors>
  </colors>
  <extLst>
    <ext xmlns:x14="http://schemas.microsoft.com/office/spreadsheetml/2009/9/main" uri="{46F421CA-312F-682f-3DD2-61675219B42D}">
      <x14:dxfs count="3">
        <dxf>
          <fill>
            <patternFill>
              <bgColor rgb="FF9900CC"/>
            </patternFill>
          </fill>
        </dxf>
        <dxf>
          <fill>
            <patternFill>
              <bgColor rgb="FFCC66FF"/>
            </patternFill>
          </fill>
        </dxf>
        <dxf>
          <fill>
            <patternFill>
              <bgColor rgb="FF9900CC"/>
            </patternFill>
          </fill>
        </dxf>
      </x14:dxfs>
    </ext>
    <ext xmlns:x14="http://schemas.microsoft.com/office/spreadsheetml/2009/9/main" uri="{EB79DEF2-80B8-43e5-95BD-54CBDDF9020C}">
      <x14:slicerStyles defaultSlicerStyle="SlicerStyleLight1">
        <x14:slicerStyle name="new sliceer"/>
        <x14:slicerStyle name="Slicer Style 1"/>
        <x14:slicerStyle name="Slicer Style 2"/>
        <x14:slicerStyle name="Slicer Style 3"/>
        <x14:slicerStyle name="Slicer Style 4">
          <x14:slicerStyleElements>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[S.xlsx]Funding by Year!PivotTable1</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A0AF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A0AFA"/>
            </a:solidFill>
            <a:round/>
          </a:ln>
          <a:effectLst/>
        </c:spPr>
        <c:marker>
          <c:symbol val="none"/>
        </c:marker>
        <c:dLbl>
          <c:idx val="0"/>
          <c:layout>
            <c:manualLayout>
              <c:x val="-2.4602503220741138E-2"/>
              <c:y val="-0.1727539340496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5180114612265E-2"/>
          <c:y val="5.9363269845683304E-2"/>
          <c:w val="0.92424955136701903"/>
          <c:h val="0.67019839078812593"/>
        </c:manualLayout>
      </c:layout>
      <c:lineChart>
        <c:grouping val="standard"/>
        <c:varyColors val="0"/>
        <c:ser>
          <c:idx val="0"/>
          <c:order val="0"/>
          <c:tx>
            <c:strRef>
              <c:f>'Funding by Year'!$B$3</c:f>
              <c:strCache>
                <c:ptCount val="1"/>
                <c:pt idx="0">
                  <c:v>Total</c:v>
                </c:pt>
              </c:strCache>
            </c:strRef>
          </c:tx>
          <c:spPr>
            <a:ln w="28575" cap="rnd">
              <a:solidFill>
                <a:srgbClr val="FA0AFA"/>
              </a:solidFill>
              <a:round/>
            </a:ln>
            <a:effectLst/>
          </c:spPr>
          <c:marker>
            <c:symbol val="none"/>
          </c:marker>
          <c:dPt>
            <c:idx val="5"/>
            <c:marker>
              <c:symbol val="none"/>
            </c:marker>
            <c:bubble3D val="0"/>
            <c:spPr>
              <a:ln w="28575" cap="rnd">
                <a:solidFill>
                  <a:srgbClr val="FA0AFA"/>
                </a:solidFill>
                <a:round/>
              </a:ln>
              <a:effectLst/>
            </c:spPr>
            <c:extLst>
              <c:ext xmlns:c16="http://schemas.microsoft.com/office/drawing/2014/chart" uri="{C3380CC4-5D6E-409C-BE32-E72D297353CC}">
                <c16:uniqueId val="{00000003-5C7B-42D4-B217-9ACB7CE86F83}"/>
              </c:ext>
            </c:extLst>
          </c:dPt>
          <c:dLbls>
            <c:dLbl>
              <c:idx val="5"/>
              <c:layout>
                <c:manualLayout>
                  <c:x val="-2.4602503220741138E-2"/>
                  <c:y val="-0.172753934049638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7B-42D4-B217-9ACB7CE86F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'Funding by Year'!$A$4:$A$10</c:f>
              <c:strCache>
                <c:ptCount val="6"/>
                <c:pt idx="0">
                  <c:v>2020</c:v>
                </c:pt>
                <c:pt idx="1">
                  <c:v>2021</c:v>
                </c:pt>
                <c:pt idx="2">
                  <c:v>2022</c:v>
                </c:pt>
                <c:pt idx="3">
                  <c:v>2023</c:v>
                </c:pt>
                <c:pt idx="4">
                  <c:v>2024</c:v>
                </c:pt>
                <c:pt idx="5">
                  <c:v>2025</c:v>
                </c:pt>
              </c:strCache>
            </c:strRef>
          </c:cat>
          <c:val>
            <c:numRef>
              <c:f>'Funding by Year'!$B$4:$B$10</c:f>
              <c:numCache>
                <c:formatCode>\$#,##0.0,,,"B"</c:formatCode>
                <c:ptCount val="6"/>
                <c:pt idx="0">
                  <c:v>4756665000</c:v>
                </c:pt>
                <c:pt idx="1">
                  <c:v>6024899000</c:v>
                </c:pt>
                <c:pt idx="2">
                  <c:v>4509675000</c:v>
                </c:pt>
                <c:pt idx="3">
                  <c:v>4001981000</c:v>
                </c:pt>
                <c:pt idx="4">
                  <c:v>5979808000</c:v>
                </c:pt>
                <c:pt idx="5">
                  <c:v>2813215000</c:v>
                </c:pt>
              </c:numCache>
            </c:numRef>
          </c:val>
          <c:smooth val="0"/>
          <c:extLst>
            <c:ext xmlns:c16="http://schemas.microsoft.com/office/drawing/2014/chart" uri="{C3380CC4-5D6E-409C-BE32-E72D297353CC}">
              <c16:uniqueId val="{00000000-5C7B-42D4-B217-9ACB7CE86F83}"/>
            </c:ext>
          </c:extLst>
        </c:ser>
        <c:dLbls>
          <c:dLblPos val="t"/>
          <c:showLegendKey val="0"/>
          <c:showVal val="1"/>
          <c:showCatName val="0"/>
          <c:showSerName val="0"/>
          <c:showPercent val="0"/>
          <c:showBubbleSize val="0"/>
        </c:dLbls>
        <c:smooth val="0"/>
        <c:axId val="1844775711"/>
        <c:axId val="1844777151"/>
      </c:lineChart>
      <c:catAx>
        <c:axId val="184477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4777151"/>
        <c:crosses val="autoZero"/>
        <c:auto val="1"/>
        <c:lblAlgn val="ctr"/>
        <c:lblOffset val="100"/>
        <c:noMultiLvlLbl val="0"/>
      </c:catAx>
      <c:valAx>
        <c:axId val="1844777151"/>
        <c:scaling>
          <c:orientation val="minMax"/>
        </c:scaling>
        <c:delete val="1"/>
        <c:axPos val="l"/>
        <c:numFmt formatCode="\$#,##0.0,,,&quot;B&quot;" sourceLinked="1"/>
        <c:majorTickMark val="none"/>
        <c:minorTickMark val="none"/>
        <c:tickLblPos val="nextTo"/>
        <c:crossAx val="184477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[S.xlsx]Deal Count by Industry!PivotTable2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0AFA"/>
          </a:solidFill>
          <a:ln>
            <a:solidFill>
              <a:srgbClr val="FA0AF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0AFA"/>
          </a:solidFill>
          <a:ln>
            <a:solidFill>
              <a:srgbClr val="FA0AFA"/>
            </a:solidFill>
          </a:ln>
          <a:effectLst/>
        </c:spPr>
      </c:pivotFmt>
    </c:pivotFmts>
    <c:plotArea>
      <c:layout>
        <c:manualLayout>
          <c:layoutTarget val="inner"/>
          <c:xMode val="edge"/>
          <c:yMode val="edge"/>
          <c:x val="2.9061262383317722E-2"/>
          <c:y val="2.1986694202353628E-2"/>
          <c:w val="0.95433230196907215"/>
          <c:h val="0.70075844730152137"/>
        </c:manualLayout>
      </c:layout>
      <c:barChart>
        <c:barDir val="col"/>
        <c:grouping val="clustered"/>
        <c:varyColors val="0"/>
        <c:ser>
          <c:idx val="0"/>
          <c:order val="0"/>
          <c:tx>
            <c:strRef>
              <c:f>'Deal Count by Industry'!$B$3</c:f>
              <c:strCache>
                <c:ptCount val="1"/>
                <c:pt idx="0">
                  <c:v>Total</c:v>
                </c:pt>
              </c:strCache>
            </c:strRef>
          </c:tx>
          <c:spPr>
            <a:solidFill>
              <a:srgbClr val="FA0AFA"/>
            </a:solidFill>
            <a:ln>
              <a:solidFill>
                <a:srgbClr val="FA0AF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'Deal Count by Industry'!$A$4:$A$9</c:f>
              <c:strCache>
                <c:ptCount val="5"/>
                <c:pt idx="0">
                  <c:v>Consumer</c:v>
                </c:pt>
                <c:pt idx="1">
                  <c:v>Finance</c:v>
                </c:pt>
                <c:pt idx="2">
                  <c:v>Health &amp; Education</c:v>
                </c:pt>
                <c:pt idx="3">
                  <c:v>Real Economy</c:v>
                </c:pt>
                <c:pt idx="4">
                  <c:v>Tech</c:v>
                </c:pt>
              </c:strCache>
            </c:strRef>
          </c:cat>
          <c:val>
            <c:numRef>
              <c:f>'Deal Count by Industry'!$B$4:$B$9</c:f>
              <c:numCache>
                <c:formatCode>General</c:formatCode>
                <c:ptCount val="5"/>
                <c:pt idx="0">
                  <c:v>344</c:v>
                </c:pt>
                <c:pt idx="1">
                  <c:v>73</c:v>
                </c:pt>
                <c:pt idx="2">
                  <c:v>154</c:v>
                </c:pt>
                <c:pt idx="3">
                  <c:v>304</c:v>
                </c:pt>
                <c:pt idx="4">
                  <c:v>225</c:v>
                </c:pt>
              </c:numCache>
            </c:numRef>
          </c:val>
          <c:extLst>
            <c:ext xmlns:c16="http://schemas.microsoft.com/office/drawing/2014/chart" uri="{C3380CC4-5D6E-409C-BE32-E72D297353CC}">
              <c16:uniqueId val="{00000000-801A-4B77-A122-870A02FC31D7}"/>
            </c:ext>
          </c:extLst>
        </c:ser>
        <c:dLbls>
          <c:dLblPos val="outEnd"/>
          <c:showLegendKey val="0"/>
          <c:showVal val="1"/>
          <c:showCatName val="0"/>
          <c:showSerName val="0"/>
          <c:showPercent val="0"/>
          <c:showBubbleSize val="0"/>
        </c:dLbls>
        <c:gapWidth val="219"/>
        <c:overlap val="-27"/>
        <c:axId val="2138485855"/>
        <c:axId val="2138486335"/>
      </c:barChart>
      <c:catAx>
        <c:axId val="21384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38486335"/>
        <c:crosses val="autoZero"/>
        <c:auto val="1"/>
        <c:lblAlgn val="ctr"/>
        <c:lblOffset val="100"/>
        <c:noMultiLvlLbl val="0"/>
      </c:catAx>
      <c:valAx>
        <c:axId val="2138486335"/>
        <c:scaling>
          <c:orientation val="minMax"/>
        </c:scaling>
        <c:delete val="1"/>
        <c:axPos val="l"/>
        <c:numFmt formatCode="General" sourceLinked="1"/>
        <c:majorTickMark val="none"/>
        <c:minorTickMark val="none"/>
        <c:tickLblPos val="nextTo"/>
        <c:crossAx val="213848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[S.xlsx]Funding by Stage!PivotTable3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rgbClr val="893BC3"/>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9C6DB"/>
          </a:solidFill>
          <a:ln w="19050">
            <a:noFill/>
          </a:ln>
          <a:effectLst/>
        </c:spPr>
        <c:dLbl>
          <c:idx val="0"/>
          <c:layout>
            <c:manualLayout>
              <c:x val="-1.1571965591289254E-2"/>
              <c:y val="3.545587555988866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4518811734891"/>
                  <c:h val="0.31836959591349462"/>
                </c:manualLayout>
              </c15:layout>
            </c:ext>
          </c:extLst>
        </c:dLbl>
      </c:pivotFmt>
      <c:pivotFmt>
        <c:idx val="10"/>
        <c:spPr>
          <a:solidFill>
            <a:srgbClr val="FA0AFA"/>
          </a:solidFill>
          <a:ln w="19050">
            <a:solidFill>
              <a:srgbClr val="FA0AFA"/>
            </a:solidFill>
          </a:ln>
          <a:effectLst/>
        </c:spPr>
        <c:dLbl>
          <c:idx val="0"/>
          <c:layout>
            <c:manualLayout>
              <c:x val="5.6114895308901681E-4"/>
              <c:y val="7.453639802828046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005752931146607"/>
                  <c:h val="0.35425494673332963"/>
                </c:manualLayout>
              </c15:layout>
            </c:ext>
          </c:extLst>
        </c:dLbl>
      </c:pivotFmt>
      <c:pivotFmt>
        <c:idx val="11"/>
        <c:spPr>
          <a:solidFill>
            <a:srgbClr val="A365D1"/>
          </a:solidFill>
          <a:ln w="19050">
            <a:solidFill>
              <a:srgbClr val="A365D1"/>
            </a:solidFill>
          </a:ln>
          <a:effectLst/>
        </c:spPr>
        <c:dLbl>
          <c:idx val="0"/>
          <c:layout>
            <c:manualLayout>
              <c:x val="0.11781697746558011"/>
              <c:y val="0.1093995010629857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4611531331505127E-2"/>
          <c:y val="8.6723621622629338E-2"/>
          <c:w val="0.6213651692001404"/>
          <c:h val="0.88269456368558818"/>
        </c:manualLayout>
      </c:layout>
      <c:pieChart>
        <c:varyColors val="1"/>
        <c:ser>
          <c:idx val="0"/>
          <c:order val="0"/>
          <c:tx>
            <c:strRef>
              <c:f>'Funding by Stage'!$B$3</c:f>
              <c:strCache>
                <c:ptCount val="1"/>
                <c:pt idx="0">
                  <c:v>Total</c:v>
                </c:pt>
              </c:strCache>
            </c:strRef>
          </c:tx>
          <c:spPr>
            <a:ln>
              <a:solidFill>
                <a:srgbClr val="893BC3"/>
              </a:solidFill>
            </a:ln>
          </c:spPr>
          <c:dPt>
            <c:idx val="0"/>
            <c:bubble3D val="0"/>
            <c:explosion val="27"/>
            <c:spPr>
              <a:solidFill>
                <a:srgbClr val="29C6DB"/>
              </a:solidFill>
              <a:ln w="19050">
                <a:noFill/>
              </a:ln>
              <a:effectLst/>
            </c:spPr>
            <c:extLst>
              <c:ext xmlns:c16="http://schemas.microsoft.com/office/drawing/2014/chart" uri="{C3380CC4-5D6E-409C-BE32-E72D297353CC}">
                <c16:uniqueId val="{00000001-32CA-4492-BF4B-67582A13290A}"/>
              </c:ext>
            </c:extLst>
          </c:dPt>
          <c:dPt>
            <c:idx val="1"/>
            <c:bubble3D val="0"/>
            <c:explosion val="13"/>
            <c:spPr>
              <a:solidFill>
                <a:srgbClr val="FA0AFA"/>
              </a:solidFill>
              <a:ln w="19050">
                <a:solidFill>
                  <a:srgbClr val="FA0AFA"/>
                </a:solidFill>
              </a:ln>
              <a:effectLst/>
            </c:spPr>
            <c:extLst>
              <c:ext xmlns:c16="http://schemas.microsoft.com/office/drawing/2014/chart" uri="{C3380CC4-5D6E-409C-BE32-E72D297353CC}">
                <c16:uniqueId val="{00000003-32CA-4492-BF4B-67582A13290A}"/>
              </c:ext>
            </c:extLst>
          </c:dPt>
          <c:dPt>
            <c:idx val="2"/>
            <c:bubble3D val="0"/>
            <c:explosion val="4"/>
            <c:spPr>
              <a:solidFill>
                <a:srgbClr val="A365D1"/>
              </a:solidFill>
              <a:ln w="19050">
                <a:solidFill>
                  <a:srgbClr val="A365D1"/>
                </a:solidFill>
              </a:ln>
              <a:effectLst/>
            </c:spPr>
            <c:extLst>
              <c:ext xmlns:c16="http://schemas.microsoft.com/office/drawing/2014/chart" uri="{C3380CC4-5D6E-409C-BE32-E72D297353CC}">
                <c16:uniqueId val="{00000005-32CA-4492-BF4B-67582A13290A}"/>
              </c:ext>
            </c:extLst>
          </c:dPt>
          <c:dLbls>
            <c:dLbl>
              <c:idx val="0"/>
              <c:layout>
                <c:manualLayout>
                  <c:x val="-1.1571965591289254E-2"/>
                  <c:y val="3.545587555988866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4518811734891"/>
                      <c:h val="0.31836959591349462"/>
                    </c:manualLayout>
                  </c15:layout>
                </c:ext>
                <c:ext xmlns:c16="http://schemas.microsoft.com/office/drawing/2014/chart" uri="{C3380CC4-5D6E-409C-BE32-E72D297353CC}">
                  <c16:uniqueId val="{00000001-32CA-4492-BF4B-67582A13290A}"/>
                </c:ext>
              </c:extLst>
            </c:dLbl>
            <c:dLbl>
              <c:idx val="1"/>
              <c:layout>
                <c:manualLayout>
                  <c:x val="5.6114895308901681E-4"/>
                  <c:y val="7.453639802828046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005752931146607"/>
                      <c:h val="0.35425494673332963"/>
                    </c:manualLayout>
                  </c15:layout>
                </c:ext>
                <c:ext xmlns:c16="http://schemas.microsoft.com/office/drawing/2014/chart" uri="{C3380CC4-5D6E-409C-BE32-E72D297353CC}">
                  <c16:uniqueId val="{00000003-32CA-4492-BF4B-67582A13290A}"/>
                </c:ext>
              </c:extLst>
            </c:dLbl>
            <c:dLbl>
              <c:idx val="2"/>
              <c:layout>
                <c:manualLayout>
                  <c:x val="0.11781697746558011"/>
                  <c:y val="0.1093995010629857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2CA-4492-BF4B-67582A1329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'Funding by Stage'!$A$4:$A$7</c:f>
              <c:strCache>
                <c:ptCount val="3"/>
                <c:pt idx="0">
                  <c:v>Early Stage</c:v>
                </c:pt>
                <c:pt idx="1">
                  <c:v>Growth Stage</c:v>
                </c:pt>
                <c:pt idx="2">
                  <c:v>Late Stage</c:v>
                </c:pt>
              </c:strCache>
            </c:strRef>
          </c:cat>
          <c:val>
            <c:numRef>
              <c:f>'Funding by Stage'!$B$4:$B$7</c:f>
              <c:numCache>
                <c:formatCode>\$#,##0.0,,,"B"</c:formatCode>
                <c:ptCount val="3"/>
                <c:pt idx="0">
                  <c:v>182506000</c:v>
                </c:pt>
                <c:pt idx="1">
                  <c:v>4379258000</c:v>
                </c:pt>
                <c:pt idx="2">
                  <c:v>23524479000</c:v>
                </c:pt>
              </c:numCache>
            </c:numRef>
          </c:val>
          <c:extLst>
            <c:ext xmlns:c16="http://schemas.microsoft.com/office/drawing/2014/chart" uri="{C3380CC4-5D6E-409C-BE32-E72D297353CC}">
              <c16:uniqueId val="{00000006-32CA-4492-BF4B-67582A13290A}"/>
            </c:ext>
          </c:extLst>
        </c:ser>
        <c:dLbls>
          <c:showLegendKey val="0"/>
          <c:showVal val="0"/>
          <c:showCatName val="0"/>
          <c:showSerName val="0"/>
          <c:showPercent val="0"/>
          <c:showBubbleSize val="0"/>
          <c:showLeaderLines val="0"/>
        </c:dLbls>
        <c:firstSliceAng val="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[S.xlsx]Deals Count by Amount!PivotTable5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0AFA"/>
          </a:solidFill>
          <a:ln>
            <a:solidFill>
              <a:srgbClr val="FA0AFA"/>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1003831314343"/>
          <c:y val="2.3185838090657575E-2"/>
          <c:w val="0.67142116501980031"/>
          <c:h val="0.97403124165986543"/>
        </c:manualLayout>
      </c:layout>
      <c:barChart>
        <c:barDir val="bar"/>
        <c:grouping val="clustered"/>
        <c:varyColors val="0"/>
        <c:ser>
          <c:idx val="0"/>
          <c:order val="0"/>
          <c:tx>
            <c:strRef>
              <c:f>'Deals Count by Amount'!$B$3</c:f>
              <c:strCache>
                <c:ptCount val="1"/>
                <c:pt idx="0">
                  <c:v>Total</c:v>
                </c:pt>
              </c:strCache>
            </c:strRef>
          </c:tx>
          <c:spPr>
            <a:solidFill>
              <a:srgbClr val="FA0AFA"/>
            </a:solidFill>
            <a:ln>
              <a:solidFill>
                <a:srgbClr val="FA0AFA"/>
              </a:solid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'Deals Count by Amount'!$A$4:$A$8</c:f>
              <c:strCache>
                <c:ptCount val="4"/>
                <c:pt idx="0">
                  <c:v>Large ($10M–$100M)</c:v>
                </c:pt>
                <c:pt idx="1">
                  <c:v>Mega (above $100M)</c:v>
                </c:pt>
                <c:pt idx="2">
                  <c:v>Mid ($1M–$10M)</c:v>
                </c:pt>
                <c:pt idx="3">
                  <c:v>Small (under $1M)</c:v>
                </c:pt>
              </c:strCache>
            </c:strRef>
          </c:cat>
          <c:val>
            <c:numRef>
              <c:f>'Deals Count by Amount'!$B$4:$B$8</c:f>
              <c:numCache>
                <c:formatCode>General</c:formatCode>
                <c:ptCount val="4"/>
                <c:pt idx="0">
                  <c:v>194</c:v>
                </c:pt>
                <c:pt idx="1">
                  <c:v>83</c:v>
                </c:pt>
                <c:pt idx="2">
                  <c:v>297</c:v>
                </c:pt>
                <c:pt idx="3">
                  <c:v>526</c:v>
                </c:pt>
              </c:numCache>
            </c:numRef>
          </c:val>
          <c:extLst>
            <c:ext xmlns:c16="http://schemas.microsoft.com/office/drawing/2014/chart" uri="{C3380CC4-5D6E-409C-BE32-E72D297353CC}">
              <c16:uniqueId val="{00000000-3F45-47E6-BC75-EAB47824A8E4}"/>
            </c:ext>
          </c:extLst>
        </c:ser>
        <c:dLbls>
          <c:dLblPos val="outEnd"/>
          <c:showLegendKey val="0"/>
          <c:showVal val="1"/>
          <c:showCatName val="0"/>
          <c:showSerName val="0"/>
          <c:showPercent val="0"/>
          <c:showBubbleSize val="0"/>
        </c:dLbls>
        <c:gapWidth val="182"/>
        <c:axId val="1844765631"/>
        <c:axId val="1844756031"/>
      </c:barChart>
      <c:catAx>
        <c:axId val="184476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844756031"/>
        <c:crosses val="autoZero"/>
        <c:auto val="1"/>
        <c:lblAlgn val="ctr"/>
        <c:lblOffset val="100"/>
        <c:noMultiLvlLbl val="0"/>
      </c:catAx>
      <c:valAx>
        <c:axId val="1844756031"/>
        <c:scaling>
          <c:orientation val="minMax"/>
        </c:scaling>
        <c:delete val="1"/>
        <c:axPos val="b"/>
        <c:numFmt formatCode="General" sourceLinked="1"/>
        <c:majorTickMark val="none"/>
        <c:minorTickMark val="none"/>
        <c:tickLblPos val="nextTo"/>
        <c:crossAx val="184476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[S.xlsx]Top Five Industry by Funding !PivotTable6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0AFA"/>
          </a:solidFill>
          <a:ln>
            <a:solidFill>
              <a:srgbClr val="FA0AF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32806559922741"/>
          <c:y val="3.5736154261221516E-2"/>
          <c:w val="0.63084957890017435"/>
          <c:h val="0.93678859651105761"/>
        </c:manualLayout>
      </c:layout>
      <c:barChart>
        <c:barDir val="bar"/>
        <c:grouping val="clustered"/>
        <c:varyColors val="0"/>
        <c:ser>
          <c:idx val="0"/>
          <c:order val="0"/>
          <c:tx>
            <c:strRef>
              <c:f>'Top Five Industry by Funding '!$B$3</c:f>
              <c:strCache>
                <c:ptCount val="1"/>
                <c:pt idx="0">
                  <c:v>Total</c:v>
                </c:pt>
              </c:strCache>
            </c:strRef>
          </c:tx>
          <c:spPr>
            <a:solidFill>
              <a:srgbClr val="FA0AFA"/>
            </a:solidFill>
            <a:ln>
              <a:solidFill>
                <a:srgbClr val="FA0AF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Industry by Funding '!$A$4:$A$9</c:f>
              <c:strCache>
                <c:ptCount val="5"/>
                <c:pt idx="0">
                  <c:v>Media</c:v>
                </c:pt>
                <c:pt idx="1">
                  <c:v>Mobility</c:v>
                </c:pt>
                <c:pt idx="2">
                  <c:v>Retail</c:v>
                </c:pt>
                <c:pt idx="3">
                  <c:v>Consumer Electronics</c:v>
                </c:pt>
                <c:pt idx="4">
                  <c:v>FoodTech</c:v>
                </c:pt>
              </c:strCache>
            </c:strRef>
          </c:cat>
          <c:val>
            <c:numRef>
              <c:f>'Top Five Industry by Funding '!$B$4:$B$9</c:f>
              <c:numCache>
                <c:formatCode>\$#,##0.0,,,"B"</c:formatCode>
                <c:ptCount val="5"/>
                <c:pt idx="0">
                  <c:v>2292449000</c:v>
                </c:pt>
                <c:pt idx="1">
                  <c:v>2460096000</c:v>
                </c:pt>
                <c:pt idx="2">
                  <c:v>2673074000</c:v>
                </c:pt>
                <c:pt idx="3">
                  <c:v>2703489000</c:v>
                </c:pt>
                <c:pt idx="4">
                  <c:v>3477282000</c:v>
                </c:pt>
              </c:numCache>
            </c:numRef>
          </c:val>
          <c:extLst>
            <c:ext xmlns:c16="http://schemas.microsoft.com/office/drawing/2014/chart" uri="{C3380CC4-5D6E-409C-BE32-E72D297353CC}">
              <c16:uniqueId val="{00000000-0058-488D-81AE-40F28498C743}"/>
            </c:ext>
          </c:extLst>
        </c:ser>
        <c:dLbls>
          <c:dLblPos val="outEnd"/>
          <c:showLegendKey val="0"/>
          <c:showVal val="1"/>
          <c:showCatName val="0"/>
          <c:showSerName val="0"/>
          <c:showPercent val="0"/>
          <c:showBubbleSize val="0"/>
        </c:dLbls>
        <c:gapWidth val="182"/>
        <c:axId val="2140814271"/>
        <c:axId val="2140815231"/>
      </c:barChart>
      <c:catAx>
        <c:axId val="214081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40815231"/>
        <c:crosses val="autoZero"/>
        <c:auto val="1"/>
        <c:lblAlgn val="ctr"/>
        <c:lblOffset val="100"/>
        <c:noMultiLvlLbl val="0"/>
      </c:catAx>
      <c:valAx>
        <c:axId val="2140815231"/>
        <c:scaling>
          <c:orientation val="minMax"/>
        </c:scaling>
        <c:delete val="1"/>
        <c:axPos val="b"/>
        <c:numFmt formatCode="\$#,##0.0,,,&quot;B&quot;" sourceLinked="1"/>
        <c:majorTickMark val="none"/>
        <c:minorTickMark val="none"/>
        <c:tickLblPos val="nextTo"/>
        <c:crossAx val="214081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[S.xlsx]Funding by Year!PivotTable1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'Funding by Year'!$B$3</c:f>
              <c:strCache>
                <c:ptCount val="1"/>
                <c:pt idx="0">
                  <c:v>Total</c:v>
                </c:pt>
              </c:strCache>
            </c:strRef>
          </c:tx>
          <c:spPr>
            <a:ln w="28575" cap="rnd">
              <a:solidFill>
                <a:schemeClr val="accent1"/>
              </a:solidFill>
              <a:round/>
            </a:ln>
            <a:effectLst/>
          </c:spPr>
          <c:marker>
            <c:symbol val="none"/>
          </c:marker>
          <c:cat>
            <c:strRef>
              <c:f>'Funding by Year'!$A$4:$A$10</c:f>
              <c:strCache>
                <c:ptCount val="6"/>
                <c:pt idx="0">
                  <c:v>2020</c:v>
                </c:pt>
                <c:pt idx="1">
                  <c:v>2021</c:v>
                </c:pt>
                <c:pt idx="2">
                  <c:v>2022</c:v>
                </c:pt>
                <c:pt idx="3">
                  <c:v>2023</c:v>
                </c:pt>
                <c:pt idx="4">
                  <c:v>2024</c:v>
                </c:pt>
                <c:pt idx="5">
                  <c:v>2025</c:v>
                </c:pt>
              </c:strCache>
            </c:strRef>
          </c:cat>
          <c:val>
            <c:numRef>
              <c:f>'Funding by Year'!$B$4:$B$10</c:f>
              <c:numCache>
                <c:formatCode>\$#,##0.0,,,"B"</c:formatCode>
                <c:ptCount val="6"/>
                <c:pt idx="0">
                  <c:v>4756665000</c:v>
                </c:pt>
                <c:pt idx="1">
                  <c:v>6024899000</c:v>
                </c:pt>
                <c:pt idx="2">
                  <c:v>4509675000</c:v>
                </c:pt>
                <c:pt idx="3">
                  <c:v>4001981000</c:v>
                </c:pt>
                <c:pt idx="4">
                  <c:v>5979808000</c:v>
                </c:pt>
                <c:pt idx="5">
                  <c:v>2813215000</c:v>
                </c:pt>
              </c:numCache>
            </c:numRef>
          </c:val>
          <c:smooth val="0"/>
          <c:extLst>
            <c:ext xmlns:c16="http://schemas.microsoft.com/office/drawing/2014/chart" uri="{C3380CC4-5D6E-409C-BE32-E72D297353CC}">
              <c16:uniqueId val="{00000000-284A-40F7-ABF7-7F95743FDD34}"/>
            </c:ext>
          </c:extLst>
        </c:ser>
        <c:dLbls>
          <c:showLegendKey val="0"/>
          <c:showVal val="0"/>
          <c:showCatName val="0"/>
          <c:showSerName val="0"/>
          <c:showPercent val="0"/>
          <c:showBubbleSize val="0"/>
        </c:dLbls>
        <c:smooth val="0"/>
        <c:axId val="1844775711"/>
        <c:axId val="1844777151"/>
      </c:lineChart>
      <c:catAx>
        <c:axId val="184477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77151"/>
        <c:crosses val="autoZero"/>
        <c:auto val="1"/>
        <c:lblAlgn val="ctr"/>
        <c:lblOffset val="100"/>
        <c:noMultiLvlLbl val="0"/>
      </c:catAx>
      <c:valAx>
        <c:axId val="1844777151"/>
        <c:scaling>
          <c:orientation val="minMax"/>
        </c:scaling>
        <c:delete val="0"/>
        <c:axPos val="l"/>
        <c:majorGridlines>
          <c:spPr>
            <a:ln w="9525" cap="flat" cmpd="sng" algn="ctr">
              <a:solidFill>
                <a:schemeClr val="tx1">
                  <a:lumMod val="15000"/>
                  <a:lumOff val="85000"/>
                </a:schemeClr>
              </a:solidFill>
              <a:round/>
            </a:ln>
            <a:effectLst/>
          </c:spPr>
        </c:majorGridlines>
        <c:numFmt formatCode="\$#,##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7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[S.xlsx]Deal Count by Industry!PivotTable2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'Deal Count by Industry'!$B$3</c:f>
              <c:strCache>
                <c:ptCount val="1"/>
                <c:pt idx="0">
                  <c:v>Total</c:v>
                </c:pt>
              </c:strCache>
            </c:strRef>
          </c:tx>
          <c:spPr>
            <a:solidFill>
              <a:schemeClr val="accent1"/>
            </a:solidFill>
            <a:ln>
              <a:noFill/>
            </a:ln>
            <a:effectLst/>
          </c:spPr>
          <c:invertIfNegative val="0"/>
          <c:cat>
            <c:strRef>
              <c:f>'Deal Count by Industry'!$A$4:$A$9</c:f>
              <c:strCache>
                <c:ptCount val="5"/>
                <c:pt idx="0">
                  <c:v>Consumer</c:v>
                </c:pt>
                <c:pt idx="1">
                  <c:v>Finance</c:v>
                </c:pt>
                <c:pt idx="2">
                  <c:v>Health &amp; Education</c:v>
                </c:pt>
                <c:pt idx="3">
                  <c:v>Real Economy</c:v>
                </c:pt>
                <c:pt idx="4">
                  <c:v>Tech</c:v>
                </c:pt>
              </c:strCache>
            </c:strRef>
          </c:cat>
          <c:val>
            <c:numRef>
              <c:f>'Deal Count by Industry'!$B$4:$B$9</c:f>
              <c:numCache>
                <c:formatCode>General</c:formatCode>
                <c:ptCount val="5"/>
                <c:pt idx="0">
                  <c:v>344</c:v>
                </c:pt>
                <c:pt idx="1">
                  <c:v>73</c:v>
                </c:pt>
                <c:pt idx="2">
                  <c:v>154</c:v>
                </c:pt>
                <c:pt idx="3">
                  <c:v>304</c:v>
                </c:pt>
                <c:pt idx="4">
                  <c:v>225</c:v>
                </c:pt>
              </c:numCache>
            </c:numRef>
          </c:val>
          <c:extLst>
            <c:ext xmlns:c16="http://schemas.microsoft.com/office/drawing/2014/chart" uri="{C3380CC4-5D6E-409C-BE32-E72D297353CC}">
              <c16:uniqueId val="{00000000-84CB-45FF-910E-9A746109D026}"/>
            </c:ext>
          </c:extLst>
        </c:ser>
        <c:dLbls>
          <c:showLegendKey val="0"/>
          <c:showVal val="0"/>
          <c:showCatName val="0"/>
          <c:showSerName val="0"/>
          <c:showPercent val="0"/>
          <c:showBubbleSize val="0"/>
        </c:dLbls>
        <c:gapWidth val="219"/>
        <c:overlap val="-27"/>
        <c:axId val="2138485855"/>
        <c:axId val="2138486335"/>
      </c:barChart>
      <c:catAx>
        <c:axId val="21384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86335"/>
        <c:crosses val="autoZero"/>
        <c:auto val="1"/>
        <c:lblAlgn val="ctr"/>
        <c:lblOffset val="100"/>
        <c:noMultiLvlLbl val="0"/>
      </c:catAx>
      <c:valAx>
        <c:axId val="213848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8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[S.xlsx]Funding by Stage!PivotTable3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'Funding by Stage'!$B$3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93-4E6C-B2CE-CFCFD77D13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93-4E6C-B2CE-CFCFD77D13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93-4E6C-B2CE-CFCFD77D132C}"/>
              </c:ext>
            </c:extLst>
          </c:dPt>
          <c:cat>
            <c:strRef>
              <c:f>'Funding by Stage'!$A$4:$A$7</c:f>
              <c:strCache>
                <c:ptCount val="3"/>
                <c:pt idx="0">
                  <c:v>Early Stage</c:v>
                </c:pt>
                <c:pt idx="1">
                  <c:v>Growth Stage</c:v>
                </c:pt>
                <c:pt idx="2">
                  <c:v>Late Stage</c:v>
                </c:pt>
              </c:strCache>
            </c:strRef>
          </c:cat>
          <c:val>
            <c:numRef>
              <c:f>'Funding by Stage'!$B$4:$B$7</c:f>
              <c:numCache>
                <c:formatCode>\$#,##0.0,,,"B"</c:formatCode>
                <c:ptCount val="3"/>
                <c:pt idx="0">
                  <c:v>182506000</c:v>
                </c:pt>
                <c:pt idx="1">
                  <c:v>4379258000</c:v>
                </c:pt>
                <c:pt idx="2">
                  <c:v>23524479000</c:v>
                </c:pt>
              </c:numCache>
            </c:numRef>
          </c:val>
          <c:extLst>
            <c:ext xmlns:c16="http://schemas.microsoft.com/office/drawing/2014/chart" uri="{C3380CC4-5D6E-409C-BE32-E72D297353CC}">
              <c16:uniqueId val="{00000000-0E38-4C5F-AE60-DB15F91C02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[S.xlsx]Deals Count by Amount!PivotTable5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'Deals Count by Amount'!$B$3</c:f>
              <c:strCache>
                <c:ptCount val="1"/>
                <c:pt idx="0">
                  <c:v>Total</c:v>
                </c:pt>
              </c:strCache>
            </c:strRef>
          </c:tx>
          <c:spPr>
            <a:solidFill>
              <a:schemeClr val="accent1"/>
            </a:solidFill>
            <a:ln>
              <a:noFill/>
            </a:ln>
            <a:effectLst/>
          </c:spPr>
          <c:invertIfNegative val="0"/>
          <c:cat>
            <c:strRef>
              <c:f>'Deals Count by Amount'!$A$4:$A$8</c:f>
              <c:strCache>
                <c:ptCount val="4"/>
                <c:pt idx="0">
                  <c:v>Large ($10M–$100M)</c:v>
                </c:pt>
                <c:pt idx="1">
                  <c:v>Mega (above $100M)</c:v>
                </c:pt>
                <c:pt idx="2">
                  <c:v>Mid ($1M–$10M)</c:v>
                </c:pt>
                <c:pt idx="3">
                  <c:v>Small (under $1M)</c:v>
                </c:pt>
              </c:strCache>
            </c:strRef>
          </c:cat>
          <c:val>
            <c:numRef>
              <c:f>'Deals Count by Amount'!$B$4:$B$8</c:f>
              <c:numCache>
                <c:formatCode>General</c:formatCode>
                <c:ptCount val="4"/>
                <c:pt idx="0">
                  <c:v>194</c:v>
                </c:pt>
                <c:pt idx="1">
                  <c:v>83</c:v>
                </c:pt>
                <c:pt idx="2">
                  <c:v>297</c:v>
                </c:pt>
                <c:pt idx="3">
                  <c:v>526</c:v>
                </c:pt>
              </c:numCache>
            </c:numRef>
          </c:val>
          <c:extLst>
            <c:ext xmlns:c16="http://schemas.microsoft.com/office/drawing/2014/chart" uri="{C3380CC4-5D6E-409C-BE32-E72D297353CC}">
              <c16:uniqueId val="{00000000-E875-45A5-8289-1C310549B0EB}"/>
            </c:ext>
          </c:extLst>
        </c:ser>
        <c:dLbls>
          <c:showLegendKey val="0"/>
          <c:showVal val="0"/>
          <c:showCatName val="0"/>
          <c:showSerName val="0"/>
          <c:showPercent val="0"/>
          <c:showBubbleSize val="0"/>
        </c:dLbls>
        <c:gapWidth val="182"/>
        <c:axId val="1844765631"/>
        <c:axId val="1844756031"/>
      </c:barChart>
      <c:catAx>
        <c:axId val="184476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56031"/>
        <c:crosses val="autoZero"/>
        <c:auto val="1"/>
        <c:lblAlgn val="ctr"/>
        <c:lblOffset val="100"/>
        <c:noMultiLvlLbl val="0"/>
      </c:catAx>
      <c:valAx>
        <c:axId val="1844756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6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[S.xlsx]Top Five Industry by Funding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Five Industry by Funding '!$B$3</c:f>
              <c:strCache>
                <c:ptCount val="1"/>
                <c:pt idx="0">
                  <c:v>Total</c:v>
                </c:pt>
              </c:strCache>
            </c:strRef>
          </c:tx>
          <c:spPr>
            <a:solidFill>
              <a:schemeClr val="accent1"/>
            </a:solidFill>
            <a:ln>
              <a:noFill/>
            </a:ln>
            <a:effectLst/>
          </c:spPr>
          <c:invertIfNegative val="0"/>
          <c:cat>
            <c:strRef>
              <c:f>'Top Five Industry by Funding '!$A$4:$A$9</c:f>
              <c:strCache>
                <c:ptCount val="5"/>
                <c:pt idx="0">
                  <c:v>Media</c:v>
                </c:pt>
                <c:pt idx="1">
                  <c:v>Mobility</c:v>
                </c:pt>
                <c:pt idx="2">
                  <c:v>Retail</c:v>
                </c:pt>
                <c:pt idx="3">
                  <c:v>Consumer Electronics</c:v>
                </c:pt>
                <c:pt idx="4">
                  <c:v>FoodTech</c:v>
                </c:pt>
              </c:strCache>
            </c:strRef>
          </c:cat>
          <c:val>
            <c:numRef>
              <c:f>'Top Five Industry by Funding '!$B$4:$B$9</c:f>
              <c:numCache>
                <c:formatCode>\$#,##0.0,,,"B"</c:formatCode>
                <c:ptCount val="5"/>
                <c:pt idx="0">
                  <c:v>2292449000</c:v>
                </c:pt>
                <c:pt idx="1">
                  <c:v>2460096000</c:v>
                </c:pt>
                <c:pt idx="2">
                  <c:v>2673074000</c:v>
                </c:pt>
                <c:pt idx="3">
                  <c:v>2703489000</c:v>
                </c:pt>
                <c:pt idx="4">
                  <c:v>3477282000</c:v>
                </c:pt>
              </c:numCache>
            </c:numRef>
          </c:val>
          <c:extLst>
            <c:ext xmlns:c16="http://schemas.microsoft.com/office/drawing/2014/chart" uri="{C3380CC4-5D6E-409C-BE32-E72D297353CC}">
              <c16:uniqueId val="{00000000-DF73-434B-9AB5-F7DBF6D308A1}"/>
            </c:ext>
          </c:extLst>
        </c:ser>
        <c:dLbls>
          <c:showLegendKey val="0"/>
          <c:showVal val="0"/>
          <c:showCatName val="0"/>
          <c:showSerName val="0"/>
          <c:showPercent val="0"/>
          <c:showBubbleSize val="0"/>
        </c:dLbls>
        <c:gapWidth val="182"/>
        <c:axId val="2140814271"/>
        <c:axId val="2140815231"/>
      </c:barChart>
      <c:catAx>
        <c:axId val="214081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815231"/>
        <c:crosses val="autoZero"/>
        <c:auto val="1"/>
        <c:lblAlgn val="ctr"/>
        <c:lblOffset val="100"/>
        <c:noMultiLvlLbl val="0"/>
      </c:catAx>
      <c:valAx>
        <c:axId val="2140815231"/>
        <c:scaling>
          <c:orientation val="minMax"/>
        </c:scaling>
        <c:delete val="0"/>
        <c:axPos val="b"/>
        <c:majorGridlines>
          <c:spPr>
            <a:ln w="9525" cap="flat" cmpd="sng" algn="ctr">
              <a:solidFill>
                <a:schemeClr val="tx1">
                  <a:lumMod val="15000"/>
                  <a:lumOff val="85000"/>
                </a:schemeClr>
              </a:solidFill>
              <a:round/>
            </a:ln>
            <a:effectLst/>
          </c:spPr>
        </c:majorGridlines>
        <c:numFmt formatCode="\$#,##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81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1-77B3-4355-9A99-29D636F074BB}">
          <cx:tx>
            <cx:txData>
              <cx:f>_xlchart.v1.1</cx:f>
              <cx:v>Count of Startup</cx:v>
            </cx:txData>
          </cx:tx>
          <cx:spPr>
            <a:solidFill>
              <a:srgbClr val="FA0AFA">
                <a:alpha val="79000"/>
              </a:srgbClr>
            </a:solidFill>
            <a:ln>
              <a:noFill/>
            </a:ln>
          </cx:spPr>
          <cx:dataPt idx="0">
            <cx:spPr>
              <a:solidFill>
                <a:srgbClr val="29C6DB">
                  <a:alpha val="78824"/>
                </a:srgbClr>
              </a:solidFill>
            </cx:spPr>
          </cx:dataPt>
          <cx:dataPt idx="2">
            <cx:spPr>
              <a:solidFill>
                <a:srgbClr val="E97F7F">
                  <a:alpha val="78824"/>
                </a:srgbClr>
              </a:solidFill>
            </cx:spPr>
          </cx:dataPt>
          <cx:dataPt idx="3">
            <cx:spPr>
              <a:solidFill>
                <a:srgbClr val="E41C1C">
                  <a:alpha val="78824"/>
                </a:srgbClr>
              </a:solidFill>
            </cx:spPr>
          </cx:dataPt>
          <cx:dataPt idx="4">
            <cx:spPr>
              <a:solidFill>
                <a:srgbClr val="FFC000">
                  <a:lumMod val="60000"/>
                  <a:lumOff val="40000"/>
                  <a:alpha val="79000"/>
                </a:srgbClr>
              </a:solidFill>
            </cx:spPr>
          </cx:dataPt>
          <cx:dataPt idx="5">
            <cx:spPr>
              <a:solidFill>
                <a:srgbClr val="A568D2">
                  <a:alpha val="79000"/>
                </a:srgbClr>
              </a:solidFill>
            </cx:spPr>
          </cx:dataPt>
          <cx:dataPt idx="6">
            <cx:spPr>
              <a:solidFill>
                <a:srgbClr val="4472C4">
                  <a:lumMod val="75000"/>
                  <a:alpha val="79000"/>
                </a:srgbClr>
              </a:solidFill>
            </cx:spPr>
          </cx:dataPt>
          <cx:dataPt idx="7">
            <cx:spPr>
              <a:solidFill>
                <a:srgbClr val="ED7D31">
                  <a:alpha val="79000"/>
                </a:srgbClr>
              </a:solidFill>
            </cx:spPr>
          </cx:dataPt>
          <cx:dataPt idx="8">
            <cx:spPr>
              <a:solidFill>
                <a:srgbClr val="E7E6E6">
                  <a:lumMod val="75000"/>
                  <a:alpha val="79000"/>
                </a:srgbClr>
              </a:solidFill>
            </cx:spPr>
          </cx:dataPt>
          <cx:dataPt idx="9">
            <cx:spPr>
              <a:solidFill>
                <a:srgbClr val="00B050">
                  <a:alpha val="79000"/>
                </a:srgbClr>
              </a:solidFill>
            </cx:spPr>
          </cx:dataPt>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00000001-77B3-4355-9A99-29D636F074BB}">
          <cx:tx>
            <cx:txData>
              <cx:f>_xlchart.v1.4</cx:f>
              <cx:v>Count of Startup</cx:v>
            </cx:txData>
          </cx:tx>
          <cx:dataId val="0"/>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441959</xdr:colOff>
      <xdr:row>15</xdr:row>
      <xdr:rowOff>47148</xdr:rowOff>
    </xdr:from>
    <xdr:to>
      <xdr:col>17</xdr:col>
      <xdr:colOff>114298</xdr:colOff>
      <xdr:row>46</xdr:row>
      <xdr:rowOff>22859</xdr:rowOff>
    </xdr:to>
    <xdr:pic>
      <xdr:nvPicPr>
        <xdr:cNvPr id="5" name="Picture 4">
          <a:extLst>
            <a:ext uri="{FF2B5EF4-FFF2-40B4-BE49-F238E27FC236}">
              <a16:creationId xmlns:a16="http://schemas.microsoft.com/office/drawing/2014/main" id="{5D3FFC1C-090B-8F3C-5F56-C28D48A548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1959" y="2774762"/>
          <a:ext cx="9976657" cy="5612779"/>
        </a:xfrm>
        <a:prstGeom prst="rect">
          <a:avLst/>
        </a:prstGeom>
      </xdr:spPr>
    </xdr:pic>
    <xdr:clientData/>
  </xdr:twoCellAnchor>
  <xdr:twoCellAnchor>
    <xdr:from>
      <xdr:col>12</xdr:col>
      <xdr:colOff>571500</xdr:colOff>
      <xdr:row>25</xdr:row>
      <xdr:rowOff>69272</xdr:rowOff>
    </xdr:from>
    <xdr:to>
      <xdr:col>16</xdr:col>
      <xdr:colOff>597477</xdr:colOff>
      <xdr:row>31</xdr:row>
      <xdr:rowOff>103910</xdr:rowOff>
    </xdr:to>
    <xdr:graphicFrame macro="">
      <xdr:nvGraphicFramePr>
        <xdr:cNvPr id="6" name="Chart 5">
          <a:extLst>
            <a:ext uri="{FF2B5EF4-FFF2-40B4-BE49-F238E27FC236}">
              <a16:creationId xmlns:a16="http://schemas.microsoft.com/office/drawing/2014/main" id="{D101D8EA-F43A-4CEC-8EB0-6BD83F564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48638</xdr:colOff>
      <xdr:row>37</xdr:row>
      <xdr:rowOff>89169</xdr:rowOff>
    </xdr:from>
    <xdr:to>
      <xdr:col>6</xdr:col>
      <xdr:colOff>553</xdr:colOff>
      <xdr:row>44</xdr:row>
      <xdr:rowOff>170234</xdr:rowOff>
    </xdr:to>
    <xdr:graphicFrame macro="">
      <xdr:nvGraphicFramePr>
        <xdr:cNvPr id="7" name="Chart 6">
          <a:extLst>
            <a:ext uri="{FF2B5EF4-FFF2-40B4-BE49-F238E27FC236}">
              <a16:creationId xmlns:a16="http://schemas.microsoft.com/office/drawing/2014/main" id="{D12AEF40-C0CB-4002-9F3F-0BB7D5243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138892</xdr:colOff>
      <xdr:row>26</xdr:row>
      <xdr:rowOff>155863</xdr:rowOff>
    </xdr:from>
    <xdr:to>
      <xdr:col>4</xdr:col>
      <xdr:colOff>372342</xdr:colOff>
      <xdr:row>34</xdr:row>
      <xdr:rowOff>112568</xdr:rowOff>
    </xdr:to>
    <xdr:graphicFrame macro="">
      <xdr:nvGraphicFramePr>
        <xdr:cNvPr id="8" name="Chart 7">
          <a:extLst>
            <a:ext uri="{FF2B5EF4-FFF2-40B4-BE49-F238E27FC236}">
              <a16:creationId xmlns:a16="http://schemas.microsoft.com/office/drawing/2014/main" id="{FA90271E-2AFD-4311-B275-9C73EAD33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121596</xdr:colOff>
      <xdr:row>37</xdr:row>
      <xdr:rowOff>113489</xdr:rowOff>
    </xdr:from>
    <xdr:to>
      <xdr:col>12</xdr:col>
      <xdr:colOff>421532</xdr:colOff>
      <xdr:row>44</xdr:row>
      <xdr:rowOff>181565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99FB8C6-590F-4D7A-A911-80D21F0F77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79196" y="6880049"/>
              <a:ext cx="3957536" cy="13482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312071</xdr:colOff>
      <xdr:row>26</xdr:row>
      <xdr:rowOff>155863</xdr:rowOff>
    </xdr:from>
    <xdr:to>
      <xdr:col>12</xdr:col>
      <xdr:colOff>372340</xdr:colOff>
      <xdr:row>34</xdr:row>
      <xdr:rowOff>121227</xdr:rowOff>
    </xdr:to>
    <xdr:graphicFrame macro="">
      <xdr:nvGraphicFramePr>
        <xdr:cNvPr id="10" name="Chart 9">
          <a:extLst>
            <a:ext uri="{FF2B5EF4-FFF2-40B4-BE49-F238E27FC236}">
              <a16:creationId xmlns:a16="http://schemas.microsoft.com/office/drawing/2014/main" id="{4CDE0B77-BBDC-482D-905B-922F23EC3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34</xdr:row>
      <xdr:rowOff>17318</xdr:rowOff>
    </xdr:from>
    <xdr:to>
      <xdr:col>16</xdr:col>
      <xdr:colOff>528204</xdr:colOff>
      <xdr:row>44</xdr:row>
      <xdr:rowOff>138545</xdr:rowOff>
    </xdr:to>
    <xdr:graphicFrame macro="">
      <xdr:nvGraphicFramePr>
        <xdr:cNvPr id="11" name="Chart 10">
          <a:extLst>
            <a:ext uri="{FF2B5EF4-FFF2-40B4-BE49-F238E27FC236}">
              <a16:creationId xmlns:a16="http://schemas.microsoft.com/office/drawing/2014/main" id="{5AFA9790-6227-4E25-9BBF-851758B08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0</xdr:colOff>
      <xdr:row>23</xdr:row>
      <xdr:rowOff>56744</xdr:rowOff>
    </xdr:from>
    <xdr:ext cx="1127553" cy="264560"/>
    <xdr:sp macro="" textlink="">
      <xdr:nvSpPr>
        <xdr:cNvPr id="12" name="TextBox 11">
          <a:extLst>
            <a:ext uri="{FF2B5EF4-FFF2-40B4-BE49-F238E27FC236}">
              <a16:creationId xmlns:a16="http://schemas.microsoft.com/office/drawing/2014/main" id="{F75E9393-88BF-5F3F-795A-708C63C2791B}"/>
            </a:ext>
          </a:extLst>
        </xdr:cNvPr>
        <xdr:cNvSpPr txBox="1"/>
      </xdr:nvSpPr>
      <xdr:spPr>
        <a:xfrm>
          <a:off x="8511702" y="4345021"/>
          <a:ext cx="11275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Funding By Year</a:t>
          </a:r>
        </a:p>
      </xdr:txBody>
    </xdr:sp>
    <xdr:clientData/>
  </xdr:oneCellAnchor>
  <xdr:oneCellAnchor>
    <xdr:from>
      <xdr:col>13</xdr:col>
      <xdr:colOff>371272</xdr:colOff>
      <xdr:row>32</xdr:row>
      <xdr:rowOff>47017</xdr:rowOff>
    </xdr:from>
    <xdr:ext cx="1834605" cy="264560"/>
    <xdr:sp macro="" textlink="">
      <xdr:nvSpPr>
        <xdr:cNvPr id="13" name="TextBox 12">
          <a:extLst>
            <a:ext uri="{FF2B5EF4-FFF2-40B4-BE49-F238E27FC236}">
              <a16:creationId xmlns:a16="http://schemas.microsoft.com/office/drawing/2014/main" id="{F297B56F-0621-40C0-BAB8-50D26A1B646C}"/>
            </a:ext>
          </a:extLst>
        </xdr:cNvPr>
        <xdr:cNvSpPr txBox="1"/>
      </xdr:nvSpPr>
      <xdr:spPr>
        <a:xfrm>
          <a:off x="8274995" y="6013315"/>
          <a:ext cx="18346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Top</a:t>
          </a:r>
          <a:r>
            <a:rPr lang="en-IN" sz="1100" b="0" baseline="0">
              <a:solidFill>
                <a:schemeClr val="bg1"/>
              </a:solidFill>
            </a:rPr>
            <a:t> Five Industry By Funding</a:t>
          </a:r>
          <a:endParaRPr lang="en-IN" sz="1100" b="0">
            <a:solidFill>
              <a:schemeClr val="bg1"/>
            </a:solidFill>
          </a:endParaRPr>
        </a:p>
      </xdr:txBody>
    </xdr:sp>
    <xdr:clientData/>
  </xdr:oneCellAnchor>
  <xdr:oneCellAnchor>
    <xdr:from>
      <xdr:col>8</xdr:col>
      <xdr:colOff>264268</xdr:colOff>
      <xdr:row>35</xdr:row>
      <xdr:rowOff>150779</xdr:rowOff>
    </xdr:from>
    <xdr:ext cx="1335558" cy="264560"/>
    <xdr:sp macro="" textlink="">
      <xdr:nvSpPr>
        <xdr:cNvPr id="14" name="TextBox 13">
          <a:extLst>
            <a:ext uri="{FF2B5EF4-FFF2-40B4-BE49-F238E27FC236}">
              <a16:creationId xmlns:a16="http://schemas.microsoft.com/office/drawing/2014/main" id="{E9AC03D0-C792-4D4A-856F-BC195722EE79}"/>
            </a:ext>
          </a:extLst>
        </xdr:cNvPr>
        <xdr:cNvSpPr txBox="1"/>
      </xdr:nvSpPr>
      <xdr:spPr>
        <a:xfrm>
          <a:off x="5128098" y="6676417"/>
          <a:ext cx="13355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Deal</a:t>
          </a:r>
          <a:r>
            <a:rPr lang="en-IN" sz="1100" b="0" baseline="0">
              <a:solidFill>
                <a:schemeClr val="bg1"/>
              </a:solidFill>
            </a:rPr>
            <a:t> Count </a:t>
          </a:r>
          <a:r>
            <a:rPr lang="en-IN" sz="1100" b="0">
              <a:solidFill>
                <a:schemeClr val="bg1"/>
              </a:solidFill>
            </a:rPr>
            <a:t>By Cities</a:t>
          </a:r>
        </a:p>
      </xdr:txBody>
    </xdr:sp>
    <xdr:clientData/>
  </xdr:oneCellAnchor>
  <xdr:oneCellAnchor>
    <xdr:from>
      <xdr:col>7</xdr:col>
      <xdr:colOff>538263</xdr:colOff>
      <xdr:row>25</xdr:row>
      <xdr:rowOff>84306</xdr:rowOff>
    </xdr:from>
    <xdr:ext cx="1487138" cy="264560"/>
    <xdr:sp macro="" textlink="">
      <xdr:nvSpPr>
        <xdr:cNvPr id="15" name="TextBox 14">
          <a:extLst>
            <a:ext uri="{FF2B5EF4-FFF2-40B4-BE49-F238E27FC236}">
              <a16:creationId xmlns:a16="http://schemas.microsoft.com/office/drawing/2014/main" id="{9762E366-412F-471B-9E0F-7D4E5732DB5B}"/>
            </a:ext>
          </a:extLst>
        </xdr:cNvPr>
        <xdr:cNvSpPr txBox="1"/>
      </xdr:nvSpPr>
      <xdr:spPr>
        <a:xfrm>
          <a:off x="4794114" y="4745476"/>
          <a:ext cx="14871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Deal</a:t>
          </a:r>
          <a:r>
            <a:rPr lang="en-IN" sz="1100" b="0" baseline="0">
              <a:solidFill>
                <a:schemeClr val="bg1"/>
              </a:solidFill>
            </a:rPr>
            <a:t> Count</a:t>
          </a:r>
          <a:r>
            <a:rPr lang="en-IN" sz="1100" b="0">
              <a:solidFill>
                <a:schemeClr val="bg1"/>
              </a:solidFill>
            </a:rPr>
            <a:t> By Amount</a:t>
          </a:r>
        </a:p>
      </xdr:txBody>
    </xdr:sp>
    <xdr:clientData/>
  </xdr:oneCellAnchor>
  <xdr:oneCellAnchor>
    <xdr:from>
      <xdr:col>1</xdr:col>
      <xdr:colOff>585281</xdr:colOff>
      <xdr:row>25</xdr:row>
      <xdr:rowOff>90791</xdr:rowOff>
    </xdr:from>
    <xdr:ext cx="1220591" cy="264560"/>
    <xdr:sp macro="" textlink="">
      <xdr:nvSpPr>
        <xdr:cNvPr id="16" name="TextBox 15">
          <a:extLst>
            <a:ext uri="{FF2B5EF4-FFF2-40B4-BE49-F238E27FC236}">
              <a16:creationId xmlns:a16="http://schemas.microsoft.com/office/drawing/2014/main" id="{DFD4931C-D8B4-4296-8B7B-790008257E22}"/>
            </a:ext>
          </a:extLst>
        </xdr:cNvPr>
        <xdr:cNvSpPr txBox="1"/>
      </xdr:nvSpPr>
      <xdr:spPr>
        <a:xfrm>
          <a:off x="1193260" y="4751961"/>
          <a:ext cx="12205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Funding By Stages</a:t>
          </a:r>
        </a:p>
      </xdr:txBody>
    </xdr:sp>
    <xdr:clientData/>
  </xdr:oneCellAnchor>
  <xdr:oneCellAnchor>
    <xdr:from>
      <xdr:col>1</xdr:col>
      <xdr:colOff>599871</xdr:colOff>
      <xdr:row>35</xdr:row>
      <xdr:rowOff>145915</xdr:rowOff>
    </xdr:from>
    <xdr:ext cx="1866408" cy="264560"/>
    <xdr:sp macro="" textlink="">
      <xdr:nvSpPr>
        <xdr:cNvPr id="17" name="TextBox 16">
          <a:extLst>
            <a:ext uri="{FF2B5EF4-FFF2-40B4-BE49-F238E27FC236}">
              <a16:creationId xmlns:a16="http://schemas.microsoft.com/office/drawing/2014/main" id="{ABE2C4ED-B81D-44D8-9872-1946F3050FDE}"/>
            </a:ext>
          </a:extLst>
        </xdr:cNvPr>
        <xdr:cNvSpPr txBox="1"/>
      </xdr:nvSpPr>
      <xdr:spPr>
        <a:xfrm>
          <a:off x="1207850" y="6671553"/>
          <a:ext cx="18664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a:solidFill>
                <a:schemeClr val="bg1"/>
              </a:solidFill>
            </a:rPr>
            <a:t>Deal</a:t>
          </a:r>
          <a:r>
            <a:rPr lang="en-IN" sz="1100" b="0" baseline="0">
              <a:solidFill>
                <a:schemeClr val="bg1"/>
              </a:solidFill>
            </a:rPr>
            <a:t> Count</a:t>
          </a:r>
          <a:r>
            <a:rPr lang="en-IN" sz="1100" b="0">
              <a:solidFill>
                <a:schemeClr val="bg1"/>
              </a:solidFill>
            </a:rPr>
            <a:t> By </a:t>
          </a:r>
          <a:r>
            <a:rPr lang="en-IN" sz="1100" b="0" i="0">
              <a:solidFill>
                <a:schemeClr val="bg1"/>
              </a:solidFill>
            </a:rPr>
            <a:t>Industry</a:t>
          </a:r>
          <a:r>
            <a:rPr lang="en-IN" sz="1100" b="0" i="0" baseline="0">
              <a:solidFill>
                <a:schemeClr val="bg1"/>
              </a:solidFill>
            </a:rPr>
            <a:t> group</a:t>
          </a:r>
          <a:endParaRPr lang="en-IN" sz="1100" b="0">
            <a:solidFill>
              <a:schemeClr val="bg1"/>
            </a:solidFill>
          </a:endParaRPr>
        </a:p>
      </xdr:txBody>
    </xdr:sp>
    <xdr:clientData/>
  </xdr:oneCellAnchor>
  <xdr:oneCellAnchor>
    <xdr:from>
      <xdr:col>2</xdr:col>
      <xdr:colOff>128081</xdr:colOff>
      <xdr:row>16</xdr:row>
      <xdr:rowOff>111867</xdr:rowOff>
    </xdr:from>
    <xdr:ext cx="5027579" cy="453970"/>
    <xdr:sp macro="" textlink="">
      <xdr:nvSpPr>
        <xdr:cNvPr id="18" name="TextBox 17">
          <a:extLst>
            <a:ext uri="{FF2B5EF4-FFF2-40B4-BE49-F238E27FC236}">
              <a16:creationId xmlns:a16="http://schemas.microsoft.com/office/drawing/2014/main" id="{4E4433EF-FDB8-4C6A-A571-B892A44FB2EB}"/>
            </a:ext>
          </a:extLst>
        </xdr:cNvPr>
        <xdr:cNvSpPr txBox="1"/>
      </xdr:nvSpPr>
      <xdr:spPr>
        <a:xfrm>
          <a:off x="1344038" y="3095016"/>
          <a:ext cx="5027579"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0">
              <a:solidFill>
                <a:schemeClr val="bg1"/>
              </a:solidFill>
              <a:latin typeface="Arial Black" panose="020B0A04020102020204" pitchFamily="34" charset="0"/>
            </a:rPr>
            <a:t>Startup</a:t>
          </a:r>
          <a:r>
            <a:rPr lang="en-IN" sz="2000" b="0" baseline="0">
              <a:solidFill>
                <a:schemeClr val="bg1"/>
              </a:solidFill>
              <a:latin typeface="Arial Black" panose="020B0A04020102020204" pitchFamily="34" charset="0"/>
            </a:rPr>
            <a:t> funding India [2020 - 2025]</a:t>
          </a:r>
          <a:endParaRPr lang="en-IN" sz="2000" b="0">
            <a:solidFill>
              <a:schemeClr val="bg1"/>
            </a:solidFill>
            <a:latin typeface="Arial Black" panose="020B0A04020102020204" pitchFamily="34" charset="0"/>
          </a:endParaRPr>
        </a:p>
      </xdr:txBody>
    </xdr:sp>
    <xdr:clientData/>
  </xdr:oneCellAnchor>
  <xdr:oneCellAnchor>
    <xdr:from>
      <xdr:col>1</xdr:col>
      <xdr:colOff>87549</xdr:colOff>
      <xdr:row>20</xdr:row>
      <xdr:rowOff>63230</xdr:rowOff>
    </xdr:from>
    <xdr:ext cx="1147494" cy="280205"/>
    <xdr:sp macro="" textlink="">
      <xdr:nvSpPr>
        <xdr:cNvPr id="19" name="TextBox 18">
          <a:extLst>
            <a:ext uri="{FF2B5EF4-FFF2-40B4-BE49-F238E27FC236}">
              <a16:creationId xmlns:a16="http://schemas.microsoft.com/office/drawing/2014/main" id="{2908C982-3CA1-4FD1-B4CD-45D918C026E8}"/>
            </a:ext>
          </a:extLst>
        </xdr:cNvPr>
        <xdr:cNvSpPr txBox="1"/>
      </xdr:nvSpPr>
      <xdr:spPr>
        <a:xfrm>
          <a:off x="695528" y="3792166"/>
          <a:ext cx="114749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No. of Startups</a:t>
          </a:r>
        </a:p>
      </xdr:txBody>
    </xdr:sp>
    <xdr:clientData/>
  </xdr:oneCellAnchor>
  <xdr:oneCellAnchor>
    <xdr:from>
      <xdr:col>3</xdr:col>
      <xdr:colOff>77821</xdr:colOff>
      <xdr:row>20</xdr:row>
      <xdr:rowOff>69714</xdr:rowOff>
    </xdr:from>
    <xdr:ext cx="1272656" cy="280205"/>
    <xdr:sp macro="" textlink="">
      <xdr:nvSpPr>
        <xdr:cNvPr id="20" name="TextBox 19">
          <a:extLst>
            <a:ext uri="{FF2B5EF4-FFF2-40B4-BE49-F238E27FC236}">
              <a16:creationId xmlns:a16="http://schemas.microsoft.com/office/drawing/2014/main" id="{69E18DED-0AC0-41D3-8A43-5FB6D614124C}"/>
            </a:ext>
          </a:extLst>
        </xdr:cNvPr>
        <xdr:cNvSpPr txBox="1"/>
      </xdr:nvSpPr>
      <xdr:spPr>
        <a:xfrm>
          <a:off x="1901757" y="3798650"/>
          <a:ext cx="127265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Total Investment</a:t>
          </a:r>
        </a:p>
      </xdr:txBody>
    </xdr:sp>
    <xdr:clientData/>
  </xdr:oneCellAnchor>
  <xdr:oneCellAnchor>
    <xdr:from>
      <xdr:col>5</xdr:col>
      <xdr:colOff>238327</xdr:colOff>
      <xdr:row>20</xdr:row>
      <xdr:rowOff>59986</xdr:rowOff>
    </xdr:from>
    <xdr:ext cx="1468031" cy="280205"/>
    <xdr:sp macro="" textlink="">
      <xdr:nvSpPr>
        <xdr:cNvPr id="21" name="TextBox 20">
          <a:extLst>
            <a:ext uri="{FF2B5EF4-FFF2-40B4-BE49-F238E27FC236}">
              <a16:creationId xmlns:a16="http://schemas.microsoft.com/office/drawing/2014/main" id="{8AD2EE86-C6A4-4E2A-AE06-221EBB6C1A5C}"/>
            </a:ext>
          </a:extLst>
        </xdr:cNvPr>
        <xdr:cNvSpPr txBox="1"/>
      </xdr:nvSpPr>
      <xdr:spPr>
        <a:xfrm>
          <a:off x="3278221" y="3788922"/>
          <a:ext cx="14680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Average investment</a:t>
          </a:r>
        </a:p>
      </xdr:txBody>
    </xdr:sp>
    <xdr:clientData/>
  </xdr:oneCellAnchor>
  <xdr:oneCellAnchor>
    <xdr:from>
      <xdr:col>7</xdr:col>
      <xdr:colOff>528536</xdr:colOff>
      <xdr:row>20</xdr:row>
      <xdr:rowOff>58365</xdr:rowOff>
    </xdr:from>
    <xdr:ext cx="1598579" cy="280205"/>
    <xdr:sp macro="" textlink="">
      <xdr:nvSpPr>
        <xdr:cNvPr id="22" name="TextBox 21">
          <a:extLst>
            <a:ext uri="{FF2B5EF4-FFF2-40B4-BE49-F238E27FC236}">
              <a16:creationId xmlns:a16="http://schemas.microsoft.com/office/drawing/2014/main" id="{81BE4421-A906-4E83-B526-B419C4424D39}"/>
            </a:ext>
          </a:extLst>
        </xdr:cNvPr>
        <xdr:cNvSpPr txBox="1"/>
      </xdr:nvSpPr>
      <xdr:spPr>
        <a:xfrm>
          <a:off x="4784387" y="3787301"/>
          <a:ext cx="15985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Maximum</a:t>
          </a:r>
          <a:r>
            <a:rPr lang="en-IN" sz="1200" b="1" baseline="0">
              <a:solidFill>
                <a:schemeClr val="bg1"/>
              </a:solidFill>
            </a:rPr>
            <a:t> Investment</a:t>
          </a:r>
          <a:endParaRPr lang="en-IN" sz="1200" b="1">
            <a:solidFill>
              <a:schemeClr val="bg1"/>
            </a:solidFill>
          </a:endParaRPr>
        </a:p>
      </xdr:txBody>
    </xdr:sp>
    <xdr:clientData/>
  </xdr:oneCellAnchor>
  <xdr:twoCellAnchor>
    <xdr:from>
      <xdr:col>1</xdr:col>
      <xdr:colOff>105383</xdr:colOff>
      <xdr:row>21</xdr:row>
      <xdr:rowOff>162128</xdr:rowOff>
    </xdr:from>
    <xdr:to>
      <xdr:col>10</xdr:col>
      <xdr:colOff>243192</xdr:colOff>
      <xdr:row>21</xdr:row>
      <xdr:rowOff>162128</xdr:rowOff>
    </xdr:to>
    <xdr:cxnSp macro="">
      <xdr:nvCxnSpPr>
        <xdr:cNvPr id="24" name="Straight Connector 23">
          <a:extLst>
            <a:ext uri="{FF2B5EF4-FFF2-40B4-BE49-F238E27FC236}">
              <a16:creationId xmlns:a16="http://schemas.microsoft.com/office/drawing/2014/main" id="{6B8A3809-FC35-0826-2E5D-5145C2481D30}"/>
            </a:ext>
          </a:extLst>
        </xdr:cNvPr>
        <xdr:cNvCxnSpPr/>
      </xdr:nvCxnSpPr>
      <xdr:spPr>
        <a:xfrm>
          <a:off x="713362" y="4077511"/>
          <a:ext cx="560961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288586</xdr:colOff>
      <xdr:row>22</xdr:row>
      <xdr:rowOff>12971</xdr:rowOff>
    </xdr:from>
    <xdr:ext cx="652744" cy="374141"/>
    <xdr:sp macro="" textlink="'KPI''s'!A6">
      <xdr:nvSpPr>
        <xdr:cNvPr id="2" name="TextBox 1">
          <a:extLst>
            <a:ext uri="{FF2B5EF4-FFF2-40B4-BE49-F238E27FC236}">
              <a16:creationId xmlns:a16="http://schemas.microsoft.com/office/drawing/2014/main" id="{D23CA84E-AF0D-44B1-BB8E-3BE15FF83CD0}"/>
            </a:ext>
          </a:extLst>
        </xdr:cNvPr>
        <xdr:cNvSpPr txBox="1"/>
      </xdr:nvSpPr>
      <xdr:spPr>
        <a:xfrm>
          <a:off x="899861" y="4065806"/>
          <a:ext cx="6527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fld id="{62FDC031-7B15-4150-8A32-906C6E6BB687}" type="TxLink">
            <a:rPr lang="en-US" sz="1800" b="1" i="0" u="none" strike="noStrike">
              <a:solidFill>
                <a:srgbClr val="29C6DB"/>
              </a:solidFill>
              <a:latin typeface="Calibri"/>
              <a:ea typeface="Calibri"/>
              <a:cs typeface="Calibri"/>
            </a:rPr>
            <a:pPr marL="0" indent="0" algn="ctr"/>
            <a:t>1100</a:t>
          </a:fld>
          <a:endParaRPr lang="en-IN" sz="2000" b="1">
            <a:solidFill>
              <a:srgbClr val="29C6DB"/>
            </a:solidFill>
            <a:latin typeface="+mn-lt"/>
            <a:ea typeface="+mn-ea"/>
            <a:cs typeface="+mn-cs"/>
          </a:endParaRPr>
        </a:p>
      </xdr:txBody>
    </xdr:sp>
    <xdr:clientData/>
  </xdr:oneCellAnchor>
  <xdr:oneCellAnchor>
    <xdr:from>
      <xdr:col>3</xdr:col>
      <xdr:colOff>253821</xdr:colOff>
      <xdr:row>22</xdr:row>
      <xdr:rowOff>27560</xdr:rowOff>
    </xdr:from>
    <xdr:ext cx="843822" cy="374141"/>
    <xdr:sp macro="" textlink="'KPI''s'!B6">
      <xdr:nvSpPr>
        <xdr:cNvPr id="3" name="TextBox 2">
          <a:extLst>
            <a:ext uri="{FF2B5EF4-FFF2-40B4-BE49-F238E27FC236}">
              <a16:creationId xmlns:a16="http://schemas.microsoft.com/office/drawing/2014/main" id="{6E836E29-C179-423B-83B6-BE1B7DB2A0F4}"/>
            </a:ext>
          </a:extLst>
        </xdr:cNvPr>
        <xdr:cNvSpPr txBox="1"/>
      </xdr:nvSpPr>
      <xdr:spPr>
        <a:xfrm>
          <a:off x="2087645" y="4080395"/>
          <a:ext cx="84382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fld id="{C295DF4C-ED49-4809-8D0C-FE39E89F1DE9}" type="TxLink">
            <a:rPr lang="en-US" sz="1800" b="1" i="0" u="none" strike="noStrike">
              <a:solidFill>
                <a:srgbClr val="29C6DB"/>
              </a:solidFill>
              <a:latin typeface="Calibri"/>
              <a:ea typeface="Calibri"/>
              <a:cs typeface="Calibri"/>
            </a:rPr>
            <a:pPr marL="0" indent="0" algn="ctr"/>
            <a:t>$28.1B</a:t>
          </a:fld>
          <a:endParaRPr lang="en-IN" sz="1800" b="1" i="0" u="none" strike="noStrike">
            <a:solidFill>
              <a:srgbClr val="29C6DB"/>
            </a:solidFill>
            <a:latin typeface="Calibri"/>
            <a:ea typeface="Calibri"/>
            <a:cs typeface="Calibri"/>
          </a:endParaRPr>
        </a:p>
      </xdr:txBody>
    </xdr:sp>
    <xdr:clientData/>
  </xdr:oneCellAnchor>
  <xdr:oneCellAnchor>
    <xdr:from>
      <xdr:col>5</xdr:col>
      <xdr:colOff>546007</xdr:colOff>
      <xdr:row>22</xdr:row>
      <xdr:rowOff>34045</xdr:rowOff>
    </xdr:from>
    <xdr:ext cx="916148" cy="374141"/>
    <xdr:sp macro="" textlink="'KPI''s'!C6">
      <xdr:nvSpPr>
        <xdr:cNvPr id="4" name="TextBox 3">
          <a:extLst>
            <a:ext uri="{FF2B5EF4-FFF2-40B4-BE49-F238E27FC236}">
              <a16:creationId xmlns:a16="http://schemas.microsoft.com/office/drawing/2014/main" id="{D95A5CC8-0002-49C3-831A-529CC57B673C}"/>
            </a:ext>
          </a:extLst>
        </xdr:cNvPr>
        <xdr:cNvSpPr txBox="1"/>
      </xdr:nvSpPr>
      <xdr:spPr>
        <a:xfrm>
          <a:off x="3585901" y="4135875"/>
          <a:ext cx="91614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fld id="{D229CAE5-B858-4DA4-995B-795C56D91097}" type="TxLink">
            <a:rPr lang="en-US" sz="1800" b="1" i="0" u="none" strike="noStrike">
              <a:solidFill>
                <a:srgbClr val="29C6DB"/>
              </a:solidFill>
              <a:latin typeface="Calibri"/>
              <a:ea typeface="Calibri"/>
              <a:cs typeface="Calibri"/>
            </a:rPr>
            <a:pPr marL="0" indent="0" algn="ctr"/>
            <a:t>$25.5M</a:t>
          </a:fld>
          <a:endParaRPr lang="en-IN" sz="1800" b="1" i="0" u="none" strike="noStrike">
            <a:solidFill>
              <a:srgbClr val="29C6DB"/>
            </a:solidFill>
            <a:latin typeface="Calibri"/>
            <a:ea typeface="Calibri"/>
            <a:cs typeface="Calibri"/>
          </a:endParaRPr>
        </a:p>
      </xdr:txBody>
    </xdr:sp>
    <xdr:clientData/>
  </xdr:oneCellAnchor>
  <xdr:oneCellAnchor>
    <xdr:from>
      <xdr:col>8</xdr:col>
      <xdr:colOff>254115</xdr:colOff>
      <xdr:row>22</xdr:row>
      <xdr:rowOff>32424</xdr:rowOff>
    </xdr:from>
    <xdr:ext cx="1033168" cy="374141"/>
    <xdr:sp macro="" textlink="'KPI''s'!D6">
      <xdr:nvSpPr>
        <xdr:cNvPr id="23" name="TextBox 22">
          <a:extLst>
            <a:ext uri="{FF2B5EF4-FFF2-40B4-BE49-F238E27FC236}">
              <a16:creationId xmlns:a16="http://schemas.microsoft.com/office/drawing/2014/main" id="{E7528E47-C3D1-4DF5-9B2B-6CAF09C9BDEF}"/>
            </a:ext>
          </a:extLst>
        </xdr:cNvPr>
        <xdr:cNvSpPr txBox="1"/>
      </xdr:nvSpPr>
      <xdr:spPr>
        <a:xfrm>
          <a:off x="5117945" y="4134254"/>
          <a:ext cx="10331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fld id="{8C5421B6-7930-42DE-B5F5-B25E5D09DD5A}" type="TxLink">
            <a:rPr lang="en-US" sz="1800" b="1" i="0" u="none" strike="noStrike">
              <a:solidFill>
                <a:srgbClr val="29C6DB"/>
              </a:solidFill>
              <a:latin typeface="Calibri"/>
              <a:ea typeface="Calibri"/>
              <a:cs typeface="Calibri"/>
            </a:rPr>
            <a:pPr marL="0" indent="0" algn="ctr"/>
            <a:t>$574.7M</a:t>
          </a:fld>
          <a:endParaRPr lang="en-IN" sz="1800" b="1" i="0" u="none" strike="noStrike">
            <a:solidFill>
              <a:srgbClr val="29C6DB"/>
            </a:solidFill>
            <a:latin typeface="Calibri"/>
            <a:ea typeface="Calibri"/>
            <a:cs typeface="Calibri"/>
          </a:endParaRPr>
        </a:p>
      </xdr:txBody>
    </xdr:sp>
    <xdr:clientData/>
  </xdr:oneCellAnchor>
  <xdr:twoCellAnchor editAs="oneCell">
    <xdr:from>
      <xdr:col>10</xdr:col>
      <xdr:colOff>405318</xdr:colOff>
      <xdr:row>19</xdr:row>
      <xdr:rowOff>129967</xdr:rowOff>
    </xdr:from>
    <xdr:to>
      <xdr:col>12</xdr:col>
      <xdr:colOff>437744</xdr:colOff>
      <xdr:row>25</xdr:row>
      <xdr:rowOff>0</xdr:rowOff>
    </xdr:to>
    <mc:AlternateContent xmlns:mc="http://schemas.openxmlformats.org/markup-compatibility/2006" xmlns:a14="http://schemas.microsoft.com/office/drawing/2010/main">
      <mc:Choice Requires="a14">
        <xdr:graphicFrame macro="">
          <xdr:nvGraphicFramePr>
            <xdr:cNvPr id="26" name="Stage Group">
              <a:extLst>
                <a:ext uri="{FF2B5EF4-FFF2-40B4-BE49-F238E27FC236}">
                  <a16:creationId xmlns:a16="http://schemas.microsoft.com/office/drawing/2014/main" id="{AA19EA9E-6503-41B2-89B6-029420726B4C}"/>
                </a:ext>
              </a:extLst>
            </xdr:cNvPr>
            <xdr:cNvGraphicFramePr/>
          </xdr:nvGraphicFramePr>
          <xdr:xfrm>
            <a:off x="0" y="0"/>
            <a:ext cx="0" cy="0"/>
          </xdr:xfrm>
          <a:graphic>
            <a:graphicData uri="http://schemas.microsoft.com/office/drawing/2010/slicer">
              <sle:slicer xmlns:sle="http://schemas.microsoft.com/office/drawing/2010/slicer" name="Stage Group"/>
            </a:graphicData>
          </a:graphic>
        </xdr:graphicFrame>
      </mc:Choice>
      <mc:Fallback xmlns="">
        <xdr:sp macro="" textlink="">
          <xdr:nvSpPr>
            <xdr:cNvPr id="0" name=""/>
            <xdr:cNvSpPr>
              <a:spLocks noTextEdit="1"/>
            </xdr:cNvSpPr>
          </xdr:nvSpPr>
          <xdr:spPr>
            <a:xfrm>
              <a:off x="6518065" y="3630143"/>
              <a:ext cx="1254976" cy="97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427055</xdr:colOff>
      <xdr:row>19</xdr:row>
      <xdr:rowOff>100484</xdr:rowOff>
    </xdr:from>
    <xdr:to>
      <xdr:col>17</xdr:col>
      <xdr:colOff>5345</xdr:colOff>
      <xdr:row>23</xdr:row>
      <xdr:rowOff>41867</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EAB996A1-A507-49AB-85BB-D1A537F7B0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62352" y="3600660"/>
              <a:ext cx="2634663" cy="678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405318</xdr:colOff>
      <xdr:row>16</xdr:row>
      <xdr:rowOff>56748</xdr:rowOff>
    </xdr:from>
    <xdr:to>
      <xdr:col>17</xdr:col>
      <xdr:colOff>1467</xdr:colOff>
      <xdr:row>20</xdr:row>
      <xdr:rowOff>1</xdr:rowOff>
    </xdr:to>
    <mc:AlternateContent xmlns:mc="http://schemas.openxmlformats.org/markup-compatibility/2006" xmlns:a14="http://schemas.microsoft.com/office/drawing/2010/main">
      <mc:Choice Requires="a14">
        <xdr:graphicFrame macro="">
          <xdr:nvGraphicFramePr>
            <xdr:cNvPr id="28" name="Industry Groups">
              <a:extLst>
                <a:ext uri="{FF2B5EF4-FFF2-40B4-BE49-F238E27FC236}">
                  <a16:creationId xmlns:a16="http://schemas.microsoft.com/office/drawing/2014/main" id="{7675C168-4DF9-4FCA-BA8B-802CBCE93F17}"/>
                </a:ext>
              </a:extLst>
            </xdr:cNvPr>
            <xdr:cNvGraphicFramePr/>
          </xdr:nvGraphicFramePr>
          <xdr:xfrm>
            <a:off x="0" y="0"/>
            <a:ext cx="0" cy="0"/>
          </xdr:xfrm>
          <a:graphic>
            <a:graphicData uri="http://schemas.microsoft.com/office/drawing/2010/slicer">
              <sle:slicer xmlns:sle="http://schemas.microsoft.com/office/drawing/2010/slicer" name="Industry Groups"/>
            </a:graphicData>
          </a:graphic>
        </xdr:graphicFrame>
      </mc:Choice>
      <mc:Fallback xmlns="">
        <xdr:sp macro="" textlink="">
          <xdr:nvSpPr>
            <xdr:cNvPr id="0" name=""/>
            <xdr:cNvSpPr>
              <a:spLocks noTextEdit="1"/>
            </xdr:cNvSpPr>
          </xdr:nvSpPr>
          <xdr:spPr>
            <a:xfrm>
              <a:off x="6518065" y="3004264"/>
              <a:ext cx="3875072" cy="680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121596</xdr:colOff>
      <xdr:row>16</xdr:row>
      <xdr:rowOff>88014</xdr:rowOff>
    </xdr:from>
    <xdr:to>
      <xdr:col>2</xdr:col>
      <xdr:colOff>129702</xdr:colOff>
      <xdr:row>19</xdr:row>
      <xdr:rowOff>56746</xdr:rowOff>
    </xdr:to>
    <xdr:pic>
      <xdr:nvPicPr>
        <xdr:cNvPr id="30" name="Picture 29">
          <a:extLst>
            <a:ext uri="{FF2B5EF4-FFF2-40B4-BE49-F238E27FC236}">
              <a16:creationId xmlns:a16="http://schemas.microsoft.com/office/drawing/2014/main" id="{F08654C8-53B4-209C-D64C-41589724D5BB}"/>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2585" t="5499" r="13605" b="4246"/>
        <a:stretch>
          <a:fillRect/>
        </a:stretch>
      </xdr:blipFill>
      <xdr:spPr>
        <a:xfrm>
          <a:off x="729575" y="3071163"/>
          <a:ext cx="616084" cy="5280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10</xdr:col>
      <xdr:colOff>312420</xdr:colOff>
      <xdr:row>16</xdr:row>
      <xdr:rowOff>179070</xdr:rowOff>
    </xdr:to>
    <xdr:graphicFrame macro="">
      <xdr:nvGraphicFramePr>
        <xdr:cNvPr id="2" name="Chart 1">
          <a:extLst>
            <a:ext uri="{FF2B5EF4-FFF2-40B4-BE49-F238E27FC236}">
              <a16:creationId xmlns:a16="http://schemas.microsoft.com/office/drawing/2014/main" id="{88CED4DA-133E-66D6-C23C-9B5BAE01D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3" name="Chart 2">
          <a:extLst>
            <a:ext uri="{FF2B5EF4-FFF2-40B4-BE49-F238E27FC236}">
              <a16:creationId xmlns:a16="http://schemas.microsoft.com/office/drawing/2014/main" id="{C29768F1-0D0D-8750-3E35-15F000A1B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10</xdr:col>
      <xdr:colOff>297180</xdr:colOff>
      <xdr:row>17</xdr:row>
      <xdr:rowOff>3810</xdr:rowOff>
    </xdr:to>
    <xdr:graphicFrame macro="">
      <xdr:nvGraphicFramePr>
        <xdr:cNvPr id="2" name="Chart 1">
          <a:extLst>
            <a:ext uri="{FF2B5EF4-FFF2-40B4-BE49-F238E27FC236}">
              <a16:creationId xmlns:a16="http://schemas.microsoft.com/office/drawing/2014/main" id="{722A3947-5890-20E2-E2D2-947370E8A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4</xdr:row>
      <xdr:rowOff>91440</xdr:rowOff>
    </xdr:from>
    <xdr:to>
      <xdr:col>9</xdr:col>
      <xdr:colOff>487680</xdr:colOff>
      <xdr:row>19</xdr:row>
      <xdr:rowOff>91440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F9A041-D055-0C34-90CE-944C7D5266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14600" y="822960"/>
              <a:ext cx="41376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1</xdr:row>
      <xdr:rowOff>179070</xdr:rowOff>
    </xdr:from>
    <xdr:to>
      <xdr:col>10</xdr:col>
      <xdr:colOff>320040</xdr:colOff>
      <xdr:row>16</xdr:row>
      <xdr:rowOff>179070</xdr:rowOff>
    </xdr:to>
    <xdr:graphicFrame macro="">
      <xdr:nvGraphicFramePr>
        <xdr:cNvPr id="2" name="Chart 1">
          <a:extLst>
            <a:ext uri="{FF2B5EF4-FFF2-40B4-BE49-F238E27FC236}">
              <a16:creationId xmlns:a16="http://schemas.microsoft.com/office/drawing/2014/main" id="{ADAA7BBE-5289-53A9-235A-B4C12AFD2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1181100</xdr:colOff>
      <xdr:row>1</xdr:row>
      <xdr:rowOff>163830</xdr:rowOff>
    </xdr:from>
    <xdr:to>
      <xdr:col>8</xdr:col>
      <xdr:colOff>76200</xdr:colOff>
      <xdr:row>16</xdr:row>
      <xdr:rowOff>163830</xdr:rowOff>
    </xdr:to>
    <xdr:graphicFrame macro="">
      <xdr:nvGraphicFramePr>
        <xdr:cNvPr id="6" name="Chart 5">
          <a:extLst>
            <a:ext uri="{FF2B5EF4-FFF2-40B4-BE49-F238E27FC236}">
              <a16:creationId xmlns:a16="http://schemas.microsoft.com/office/drawing/2014/main" id="{49815551-F405-817B-3930-346EE934F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r rana" refreshedDate="46172.74665173611" createdVersion="8" refreshedVersion="8" minRefreshableVersion="3" recordCount="1100" xr:uid="{054FC109-DEE1-455B-86F7-0118730AB1ED}">
  <cacheSource type="worksheet">
    <worksheetSource name="indian_startup_funding_2020_2025_sample"/>
  </cacheSource>
  <cacheFields count="14">
    <cacheField name="Startup" numFmtId="0">
      <sharedItems count="180">
        <s v="Housejoy"/>
        <s v="Groww"/>
        <s v="FarmBox"/>
        <s v="Udaan"/>
        <s v="AeroStack"/>
        <s v="Ola"/>
        <s v="FinSpace"/>
        <s v="Rapido"/>
        <s v="HyperLoop"/>
        <s v="NextSense_10"/>
        <s v="LogiMart"/>
        <s v="CoreFlow"/>
        <s v="ClearDekho"/>
        <s v="NextSense"/>
        <s v="Zomato"/>
        <s v="FarmTech"/>
        <s v="Innovaccer"/>
        <s v="CureFit"/>
        <s v="WorkPay"/>
        <s v="Mobikwik"/>
        <s v="Freshworks"/>
        <s v="EduTech"/>
        <s v="HomeFoods"/>
        <s v="QuantumSolutions"/>
        <s v="Swiggy"/>
        <s v="HyperLabs"/>
        <s v="DriveEdge_29"/>
        <s v="NeoTech"/>
        <s v="CloudLabs"/>
        <s v="SmartTech"/>
        <s v="Bounce"/>
        <s v="HomeMart"/>
        <s v="NimbusLabs"/>
        <s v="SmartMart_37"/>
        <s v="Dunzo"/>
        <s v="AeroHub"/>
        <s v="QuantumDrive"/>
        <s v="AgriFit"/>
        <s v="SkillFlow"/>
        <s v="FreshSolutions"/>
        <s v="DriveLoop"/>
        <s v="BlueSpace"/>
        <s v="NextFlow"/>
        <s v="MediWorks"/>
        <s v="Porter"/>
        <s v="UrbanSolutions"/>
        <s v="Unacademy"/>
        <s v="SkillSolutions"/>
        <s v="Nykaa"/>
        <s v="HealthAnalytics"/>
        <s v="NeoLabs_65"/>
        <s v="QuantumAnalytics"/>
        <s v="Practo"/>
        <s v="Dream11"/>
        <s v="InMobi"/>
        <s v="Razorpay"/>
        <s v="DataAnalytics"/>
        <s v="FoodFit"/>
        <s v="CoreConnect"/>
        <s v="Chargebee"/>
        <s v="Dailyhunt"/>
        <s v="FreshTech"/>
        <s v="AgriHive"/>
        <s v="CRED"/>
        <s v="Delhivery"/>
        <s v="GreenConnect"/>
        <s v="AutoMart"/>
        <s v="Wakefit"/>
        <s v="LogiSense"/>
        <s v="AeroAnalytics"/>
        <s v="NeoSense"/>
        <s v="Oyo"/>
        <s v="NeoLabs"/>
        <s v="PharmEasy"/>
        <s v="AutoStack"/>
        <s v="PhonePe"/>
        <s v="EduMart"/>
        <s v="GreenEdge"/>
        <s v="FreshBox"/>
        <s v="GrowthFlow"/>
        <s v="BlueTech"/>
        <s v="FarmFit"/>
        <s v="CloudSolutions"/>
        <s v="Lenskart"/>
        <s v="HomeAnalytics"/>
        <s v="EduBox_144"/>
        <s v="FinFoods"/>
        <s v="DataHive"/>
        <s v="WorkStack_149"/>
        <s v="HealthRise"/>
        <s v="Myntra"/>
        <s v="GrowthConnect"/>
        <s v="FinSense"/>
        <s v="BharatPe"/>
        <s v="FinSense_162"/>
        <s v="Cars24"/>
        <s v="ShareChat"/>
        <s v="SmartMart"/>
        <s v="NextStack"/>
        <s v="AgriSense"/>
        <s v="EduMart_176"/>
        <s v="FreshSolutions_178"/>
        <s v="EduBox"/>
        <s v="CloudPay"/>
        <s v="SkillRise"/>
        <s v="DriveFit"/>
        <s v="CoreSpace"/>
        <s v="WorkStack"/>
        <s v="FoodLoop"/>
        <s v="HomeMart_208"/>
        <s v="Flipkart"/>
        <s v="Zepto"/>
        <s v="HealthWorks"/>
        <s v="NoBroker"/>
        <s v="LogiRise"/>
        <s v="NimbusMart"/>
        <s v="FoodSolutions"/>
        <s v="Postman"/>
        <s v="NimbusLabs_243"/>
        <s v="FinFoods_246"/>
        <s v="WorkPay_256"/>
        <s v="SmartTech_258"/>
        <s v="GreenMart"/>
        <s v="WorkFit"/>
        <s v="UrbanDrive"/>
        <s v="DataEdge"/>
        <s v="Paytm"/>
        <s v="BlueRise"/>
        <s v="Byju's"/>
        <s v="HyperSpace"/>
        <s v="Meesho"/>
        <s v="Urban Company"/>
        <s v="FreshTech_329"/>
        <s v="UrbanStack"/>
        <s v="SmartCare"/>
        <s v="Licious"/>
        <s v="FreshToHome"/>
        <s v="DriveEdge"/>
        <s v="NextSense_395"/>
        <s v="MediSpace"/>
        <s v="BigBasket"/>
        <s v="NimbusWorks"/>
        <s v="DataAnalytics_423"/>
        <s v="AutoFlow"/>
        <s v="GrowthCare"/>
        <s v="ClearTax"/>
        <s v="QuantumSolutions_441"/>
        <s v="MediHive"/>
        <s v="WorkPay_557"/>
        <s v="DriveFit_560"/>
        <s v="NeoSense_564"/>
        <s v="CloudSolutions_576"/>
        <s v="QuantumAnalytics_589"/>
        <s v="SmartTech_599"/>
        <s v="SkillFlow_602"/>
        <s v="GreenConnect_630"/>
        <s v="FreshTech_651"/>
        <s v="CloudSolutions_682"/>
        <s v="FinFoods_744"/>
        <s v="SmartCare_770"/>
        <s v="AutoStack_777"/>
        <s v="HyperSpace_791"/>
        <s v="SkillFlow_806"/>
        <s v="HealthWorks_839"/>
        <s v="FarmFit_840"/>
        <s v="NimbusLabs_846"/>
        <s v="HyperLoop_850"/>
        <s v="AeroAnalytics_861"/>
        <s v="NeoLabs_904"/>
        <s v="AutoFlow_933"/>
        <s v="LogiMart_960"/>
        <s v="SmartMart_989"/>
        <s v="WorkStack_1002"/>
        <s v="MediHive_1008"/>
        <s v="MediSpace_1029"/>
        <s v="FinFoods_1034"/>
        <s v="NeoSense_1062"/>
        <s v="NeoLabs_1063"/>
        <s v="CoreConnect_1085"/>
        <s v="HealthAnalytics_1095"/>
      </sharedItems>
    </cacheField>
    <cacheField name="Industry" numFmtId="0">
      <sharedItems count="14">
        <s v="EdTech"/>
        <s v="Media"/>
        <s v="Mobility"/>
        <s v="Consumer Electronics"/>
        <s v="RealEstate"/>
        <s v="Retail"/>
        <s v="FoodTech"/>
        <s v="FinTech"/>
        <s v="SaaS"/>
        <s v="Logistics"/>
        <s v="HealthTech"/>
        <s v="Enterprise"/>
        <s v="AgriTech"/>
        <s v="E-commerce"/>
      </sharedItems>
    </cacheField>
    <cacheField name="SubVertical" numFmtId="0">
      <sharedItems/>
    </cacheField>
    <cacheField name="City" numFmtId="0">
      <sharedItems count="10">
        <s v="Mumbai"/>
        <s v="Bengaluru"/>
        <s v="Hyderabad"/>
        <s v="Gurugram"/>
        <s v="Delhi"/>
        <s v="Kolkata"/>
        <s v="Ahmedabad"/>
        <s v="Pune"/>
        <s v="Noida"/>
        <s v="Chennai"/>
      </sharedItems>
    </cacheField>
    <cacheField name="Investors" numFmtId="0">
      <sharedItems count="423">
        <s v="Lightspeed India"/>
        <s v="IFC"/>
        <s v="Nexus Venture Partners, Peak XV"/>
        <s v="Kalaari Capital, Y Combinator"/>
        <s v="Bessemer Venture Partners"/>
        <s v="Matrix Partners India, Peak XV"/>
        <s v="Tiger Global Management"/>
        <s v="Blume Ventures"/>
        <s v="A91 Partners, Kedaara Capital, Tiger Global Management"/>
        <s v="Mirae Asset, SoftBank Vision Fund, Tiger Global"/>
        <s v="IFC, Kalaari Capital, Peak XV"/>
        <s v="Falcon Edge, Peak XV"/>
        <s v="Elevation Capital, SoftBank Vision Fund, Ventures India"/>
        <s v="Falcon Edge"/>
        <s v="Y Combinator"/>
        <s v="A91 Partners, Falcon Edge, Prosus Ventures"/>
        <s v="Blume Ventures, Elevation Capital"/>
        <s v="Accel"/>
        <s v="Ribbit Capital"/>
        <s v="Tiger Global"/>
        <s v="Accel, Bessemer Venture Partners, IFC"/>
        <s v="IFC, Matrix Partners India, Zodius Capital"/>
        <s v="Y Combinator, Zodius Capital"/>
        <s v="Kedaara Capital"/>
        <s v="LCatterton, Prosus Ventures, Ribbit Capital"/>
        <s v="A91 Partners, Kedaara Capital"/>
        <s v="A91 Partners, Sequoia Capital India"/>
        <s v="Info Edge, Lightspeed India"/>
        <s v="Prosus Ventures, Ribbit Capital"/>
        <s v="Sequoia Capital India"/>
        <s v="Kedaara Capital, Lightspeed India"/>
        <s v="A91 Partners, Falcon Edge, SoftBank Vision Fund"/>
        <s v="Blume Ventures, Info Edge"/>
        <s v="Elevation Capital, Ribbit Capital"/>
        <s v="Accel, Nexus Venture Partners"/>
        <s v="Mirae Asset, Tiger Global"/>
        <s v="Sequoia Capital India, Y Combinator"/>
        <s v="LCatterton, Mirae Asset"/>
        <s v="Kedaara Capital, Zodius Capital"/>
        <s v="Info Edge"/>
        <s v="Matrix Partners India, Omidyar Network, Y Combinator"/>
        <s v="A91 Partners"/>
        <s v="Elevation Capital, Kedaara Capital, Matrix Partners India"/>
        <s v="Falcon Edge, SoftBank Vision Fund, Y Combinator"/>
        <s v="Info Edge, Kedaara Capital"/>
        <s v="IFC, Matrix Partners India"/>
        <s v="Prosus Ventures, SoftBank Vision Fund"/>
        <s v="Elevation Capital"/>
        <s v="A91 Partners, Matrix Partners India"/>
        <s v="Elevation Capital, Prosus Ventures"/>
        <s v="Kedaara Capital, SoftBank Vision Fund"/>
        <s v="Peak XV, Prosus Ventures"/>
        <s v="Accel, Elevation Capital"/>
        <s v="Accel, Sequoia Capital India"/>
        <s v="Accel, Tiger Global"/>
        <s v="Accel, Peak XV"/>
        <s v="Omidyar Network, Ribbit Capital"/>
        <s v="Matrix Partners India"/>
        <s v="Elevation Capital, Matrix Partners India"/>
        <s v="Bessemer Venture Partners, Lightspeed India, Omidyar Network"/>
        <s v="Accel, Mirae Asset"/>
        <s v="Mirae Asset"/>
        <s v="Mirae Asset, Tiger Global Management"/>
        <s v="Elevation Capital, Kedaara Capital"/>
        <s v="Nexus Venture Partners"/>
        <s v="Peak XV"/>
        <s v="Bessemer Venture Partners, Kedaara Capital"/>
        <s v="Kalaari Capital, Kedaara Capital"/>
        <s v="Falcon Edge, IFC"/>
        <s v="Zodius Capital"/>
        <s v="LCatterton, Tiger Global Management, Y Combinator"/>
        <s v="IFC, Tiger Global Management"/>
        <s v="Accel, Prosus Ventures, SoftBank Vision Fund"/>
        <s v="Ribbit Capital, Tiger Global"/>
        <s v="Accel, Blume Ventures, Kedaara Capital"/>
        <s v="IFC, Ribbit Capital"/>
        <s v="Matrix Partners India, Sequoia Capital India"/>
        <s v="LCatterton, Zodius Capital"/>
        <s v="Nexus Venture Partners, Prosus Ventures, Ventures India"/>
        <s v="Omidyar Network"/>
        <s v="IFC, Y Combinator"/>
        <s v="Elevation Capital, Tiger Global Management"/>
        <s v="Kedaara Capital, Tiger Global Management"/>
        <s v="Ventures India, Y Combinator"/>
        <s v="IFC, Sequoia Capital India"/>
        <s v="Kalaari Capital, Nexus Venture Partners, Peak XV"/>
        <s v="Kalaari Capital"/>
        <s v="Accel, Blume Ventures, Kalaari Capital"/>
        <s v="Bessemer Venture Partners, Omidyar Network, Sequoia Capital India"/>
        <s v="Bessemer Venture Partners, Tiger Global"/>
        <s v="Accel, Info Edge"/>
        <s v="Accel, Kedaara Capital"/>
        <s v="Tiger Global Management, Zodius Capital"/>
        <s v="LCatterton, Ventures India, Y Combinator"/>
        <s v="Accel, Falcon Edge, Tiger Global Management"/>
        <s v="IFC, Omidyar Network"/>
        <s v="Info Edge, Mirae Asset"/>
        <s v="Mirae Asset, Prosus Ventures"/>
        <s v="Ventures India"/>
        <s v="LCatterton, Sequoia Capital India, Tiger Global"/>
        <s v="Bessemer Venture Partners, Lightspeed India"/>
        <s v="A91 Partners, Mirae Asset"/>
        <s v="Info Edge, Mirae Asset, SoftBank Vision Fund"/>
        <s v="SoftBank Vision Fund"/>
        <s v="Info Edge, LCatterton, Zodius Capital"/>
        <s v="Falcon Edge, Tiger Global Management"/>
        <s v="Nexus Venture Partners, Omidyar Network, Tiger Global Management"/>
        <s v="Kalaari Capital, Omidyar Network, Peak XV"/>
        <s v="Accel, LCatterton, Tiger Global Management"/>
        <s v="Elevation Capital, Info Edge, Matrix Partners India"/>
        <s v="Prosus Ventures"/>
        <s v="Elevation Capital, IFC, Zodius Capital"/>
        <s v="LCatterton, Omidyar Network"/>
        <s v="Accel, Falcon Edge"/>
        <s v="Blume Ventures, Prosus Ventures"/>
        <s v="Ribbit Capital, SoftBank Vision Fund"/>
        <s v="Bessemer Venture Partners, Elevation Capital, Info Edge"/>
        <s v="Mirae Asset, Sequoia Capital India"/>
        <s v="Peak XV, Tiger Global, Tiger Global Management"/>
        <s v="Info Edge, Prosus Ventures"/>
        <s v="Nexus Venture Partners, Sequoia Capital India"/>
        <s v="Bessemer Venture Partners, Nexus Venture Partners"/>
        <s v="Kalaari Capital, Mirae Asset"/>
        <s v="IFC, SoftBank Vision Fund"/>
        <s v="Bessemer Venture Partners, Lightspeed India, Matrix Partners India"/>
        <s v="Lightspeed India, Omidyar Network"/>
        <s v="A91 Partners, SoftBank Vision Fund"/>
        <s v="Blume Ventures, Kedaara Capital"/>
        <s v="Kalaari Capital, Tiger Global, Y Combinator"/>
        <s v="Falcon Edge, Kedaara Capital"/>
        <s v="Bessemer Venture Partners, Omidyar Network"/>
        <s v="Nexus Venture Partners, Prosus Ventures"/>
        <s v="Lightspeed India, Nexus Venture Partners, Tiger Global"/>
        <s v="LCatterton, SoftBank Vision Fund"/>
        <s v="Peak XV, Zodius Capital"/>
        <s v="Lightspeed India, Matrix Partners India, Mirae Asset"/>
        <s v="Matrix Partners India, Tiger Global"/>
        <s v="Mirae Asset, Nexus Venture Partners, Prosus Ventures"/>
        <s v="LCatterton"/>
        <s v="Blume Ventures, Ventures India"/>
        <s v="Accel, IFC"/>
        <s v="LCatterton, Lightspeed India"/>
        <s v="Accel, Falcon Edge, Omidyar Network"/>
        <s v="SoftBank Vision Fund, Tiger Global"/>
        <s v="IFC, Nexus Venture Partners"/>
        <s v="IFC, Ventures India"/>
        <s v="Kedaara Capital, Omidyar Network"/>
        <s v="Info Edge, LCatterton, Ribbit Capital"/>
        <s v="Nexus Venture Partners, Y Combinator"/>
        <s v="Accel, Info Edge, Y Combinator"/>
        <s v="SoftBank Vision Fund, Ventures India"/>
        <s v="LCatterton, Peak XV, Prosus Ventures"/>
        <s v="IFC, Lightspeed India, Prosus Ventures"/>
        <s v="Falcon Edge, Kedaara Capital, Tiger Global Management"/>
        <s v="Peak XV, Ventures India"/>
        <s v="A91 Partners, Lightspeed India"/>
        <s v="Blume Ventures, Kalaari Capital, Y Combinator"/>
        <s v="Blume Ventures, Matrix Partners India"/>
        <s v="Bessemer Venture Partners, Y Combinator"/>
        <s v="Nexus Venture Partners, SoftBank Vision Fund, Tiger Global Management"/>
        <s v="A91 Partners, Matrix Partners India, Mirae Asset"/>
        <s v="Bessemer Venture Partners, Zodius Capital"/>
        <s v="Falcon Edge, Omidyar Network"/>
        <s v="Ribbit Capital, SoftBank Vision Fund, Tiger Global Management"/>
        <s v="A91 Partners, Falcon Edge, Omidyar Network"/>
        <s v="Elevation Capital, Kedaara Capital, SoftBank Vision Fund"/>
        <s v="Kalaari Capital, Ventures India"/>
        <s v="Elevation Capital, Kedaara Capital, Omidyar Network"/>
        <s v="Kedaara Capital, Ribbit Capital"/>
        <s v="Sequoia Capital India, Ventures India"/>
        <s v="A91 Partners, Bessemer Venture Partners"/>
        <s v="Kedaara Capital, Ribbit Capital, Y Combinator"/>
        <s v="Prosus Ventures, Tiger Global Management"/>
        <s v="IFC, Matrix Partners India, Nexus Venture Partners"/>
        <s v="Info Edge, Kalaari Capital, Matrix Partners India"/>
        <s v="Prosus Ventures, Tiger Global, Y Combinator"/>
        <s v="Peak XV, Sequoia Capital India"/>
        <s v="Kedaara Capital, Mirae Asset"/>
        <s v="Info Edge, Ribbit Capital"/>
        <s v="Info Edge, LCatterton, Lightspeed India"/>
        <s v="Elevation Capital, Peak XV"/>
        <s v="A91 Partners, IFC"/>
        <s v="Falcon Edge, Ribbit Capital"/>
        <s v="Ribbit Capital, Ventures India"/>
        <s v="Nexus Venture Partners, Omidyar Network"/>
        <s v="Matrix Partners India, Ventures India, Y Combinator"/>
        <s v="Kedaara Capital, Tiger Global"/>
        <s v="Falcon Edge, Y Combinator"/>
        <s v="Bessemer Venture Partners, Tiger Global Management"/>
        <s v="IFC, Peak XV, Sequoia Capital India"/>
        <s v="Kedaara Capital, Y Combinator"/>
        <s v="Info Edge, LCatterton, Nexus Venture Partners"/>
        <s v="Kalaari Capital, Prosus Ventures, Sequoia Capital India"/>
        <s v="Elevation Capital, SoftBank Vision Fund"/>
        <s v="Omidyar Network, Y Combinator"/>
        <s v="Kedaara Capital, Nexus Venture Partners"/>
        <s v="Accel, Kalaari Capital, Peak XV"/>
        <s v="Blume Ventures, Peak XV, Ribbit Capital"/>
        <s v="Omidyar Network, Sequoia Capital India"/>
        <s v="Peak XV, Tiger Global Management"/>
        <s v="A91 Partners, Peak XV"/>
        <s v="Info Edge, Y Combinator"/>
        <s v="Tiger Global, Ventures India"/>
        <s v="Lightspeed India, Tiger Global"/>
        <s v="Elevation Capital, Kalaari Capital"/>
        <s v="Blume Ventures, Tiger Global Management"/>
        <s v="Info Edge, Ribbit Capital, Tiger Global Management"/>
        <s v="Blume Ventures, Ribbit Capital"/>
        <s v="Omidyar Network, Sequoia Capital India, Y Combinator"/>
        <s v="Tiger Global, Tiger Global Management"/>
        <s v="Kedaara Capital, Prosus Ventures, Ribbit Capital"/>
        <s v="Accel, Blume Ventures, IFC"/>
        <s v="Lightspeed India, Y Combinator"/>
        <s v="IFC, Lightspeed India, Ventures India"/>
        <s v="LCatterton, Tiger Global Management"/>
        <s v="Lightspeed India, Sequoia Capital India"/>
        <s v="IFC, Ribbit Capital, Sequoia Capital India"/>
        <s v="Matrix Partners India, Ventures India"/>
        <s v="Falcon Edge, IFC, Ventures India"/>
        <s v="Accel, Prosus Ventures"/>
        <s v="A91 Partners, Info Edge"/>
        <s v="Accel, Kalaari Capital, Ribbit Capital"/>
        <s v="Accel, Info Edge, Prosus Ventures"/>
        <s v="Accel, LCatterton, Mirae Asset"/>
        <s v="Lightspeed India, Zodius Capital"/>
        <s v="Bessemer Venture Partners, Info Edge, Omidyar Network"/>
        <s v="A91 Partners, Falcon Edge, Zodius Capital"/>
        <s v="Elevation Capital, Prosus Ventures, SoftBank Vision Fund"/>
        <s v="A91 Partners, Bessemer Venture Partners, Matrix Partners India"/>
        <s v="A91 Partners, Sequoia Capital India, SoftBank Vision Fund"/>
        <s v="A91 Partners, Ribbit Capital, Ventures India"/>
        <s v="Falcon Edge, Lightspeed India, Peak XV"/>
        <s v="IFC, Zodius Capital"/>
        <s v="Falcon Edge, Prosus Ventures"/>
        <s v="Bessemer Venture Partners, IFC"/>
        <s v="Peak XV, Ribbit Capital, Sequoia Capital India"/>
        <s v="Elevation Capital, Ribbit Capital, Y Combinator"/>
        <s v="Accel, Ribbit Capital"/>
        <s v="Sequoia Capital India, Tiger Global"/>
        <s v="A91 Partners, Blume Ventures"/>
        <s v="Matrix Partners India, Zodius Capital"/>
        <s v="Bessemer Venture Partners, LCatterton"/>
        <s v="Blume Ventures, Elevation Capital, Nexus Venture Partners"/>
        <s v="Lightspeed India, Peak XV, Zodius Capital"/>
        <s v="Blume Ventures, Zodius Capital"/>
        <s v="Info Edge, Peak XV"/>
        <s v="A91 Partners, Info Edge, Matrix Partners India"/>
        <s v="Accel, Bessemer Venture Partners, Kalaari Capital"/>
        <s v="Omidyar Network, Tiger Global Management, Y Combinator"/>
        <s v="Blume Ventures, Sequoia Capital India"/>
        <s v="Falcon Edge, Kalaari Capital, Omidyar Network"/>
        <s v="Tiger Global Management, Y Combinator"/>
        <s v="IFC, Peak XV"/>
        <s v="Ribbit Capital, Tiger Global Management"/>
        <s v="IFC, Mirae Asset, Sequoia Capital India"/>
        <s v="IFC, Mirae Asset"/>
        <s v="Falcon Edge, Sequoia Capital India, SoftBank Vision Fund"/>
        <s v="Prosus Ventures, Zodius Capital"/>
        <s v="Bessemer Venture Partners, Blume Ventures, Nexus Venture Partners"/>
        <s v="IFC, Tiger Global"/>
        <s v="Elevation Capital, Matrix Partners India, Ribbit Capital"/>
        <s v="Blume Ventures, IFC"/>
        <s v="Nexus Venture Partners, Ribbit Capital"/>
        <s v="A91 Partners, Falcon Edge, Ribbit Capital"/>
        <s v="LCatterton, Ventures India"/>
        <s v="Mirae Asset, SoftBank Vision Fund"/>
        <s v="Kalaari Capital, Lightspeed India"/>
        <s v="Nexus Venture Partners, Zodius Capital"/>
        <s v="Accel, Lightspeed India, Ribbit Capital"/>
        <s v="Blume Ventures, Tiger Global, Y Combinator"/>
        <s v="LCatterton, Mirae Asset, Nexus Venture Partners"/>
        <s v="Blume Ventures, Y Combinator"/>
        <s v="Blume Ventures, IFC, Prosus Ventures"/>
        <s v="LCatterton, Peak XV"/>
        <s v="Accel, Mirae Asset, SoftBank Vision Fund"/>
        <s v="Ribbit Capital, Sequoia Capital India"/>
        <s v="Falcon Edge, Tiger Global"/>
        <s v="Lightspeed India, Ribbit Capital"/>
        <s v="Bessemer Venture Partners, Prosus Ventures"/>
        <s v="IFC, Prosus Ventures"/>
        <s v="Accel, Tiger Global Management"/>
        <s v="Kalaari Capital, Matrix Partners India, Tiger Global Management"/>
        <s v="Bessemer Venture Partners, Elevation Capital, Peak XV"/>
        <s v="Kalaari Capital, Kedaara Capital, Zodius Capital"/>
        <s v="Info Edge, Sequoia Capital India"/>
        <s v="Bessemer Venture Partners, Kedaara Capital, Nexus Venture Partners"/>
        <s v="Blume Ventures, IFC, Nexus Venture Partners"/>
        <s v="Elevation Capital, Zodius Capital"/>
        <s v="Elevation Capital, Kedaara Capital, Prosus Ventures"/>
        <s v="Tiger Global, Y Combinator"/>
        <s v="A91 Partners, Falcon Edge, Tiger Global"/>
        <s v="Blume Ventures, SoftBank Vision Fund"/>
        <s v="A91 Partners, Bessemer Venture Partners, Blume Ventures"/>
        <s v="Accel, Tiger Global, Y Combinator"/>
        <s v="Info Edge, Mirae Asset, Prosus Ventures"/>
        <s v="Matrix Partners India, Y Combinator"/>
        <s v="Kalaari Capital, Ribbit Capital"/>
        <s v="Info Edge, Tiger Global Management"/>
        <s v="Accel, Zodius Capital"/>
        <s v="A91 Partners, Y Combinator"/>
        <s v="Kedaara Capital, Mirae Asset, Sequoia Capital India"/>
        <s v="Kedaara Capital, LCatterton"/>
        <s v="Mirae Asset, Y Combinator"/>
        <s v="Accel, Peak XV, Ribbit Capital"/>
        <s v="Kedaara Capital, Ventures India"/>
        <s v="Ribbit Capital, Tiger Global Management, Zodius Capital"/>
        <s v="Blume Ventures, Falcon Edge"/>
        <s v="Elevation Capital, Ventures India"/>
        <s v="Falcon Edge, Nexus Venture Partners"/>
        <s v="Accel, Falcon Edge, Peak XV"/>
        <s v="Blume Ventures, Info Edge, Sequoia Capital India"/>
        <s v="Mirae Asset, Ribbit Capital"/>
        <s v="Bessemer Venture Partners, Nexus Venture Partners, Tiger Global"/>
        <s v="Blume Ventures, Nexus Venture Partners, Tiger Global"/>
        <s v="Tiger Global, Zodius Capital"/>
        <s v="Kalaari Capital, LCatterton, Ribbit Capital"/>
        <s v="Bessemer Venture Partners, Blume Ventures"/>
        <s v="Omidyar Network, SoftBank Vision Fund"/>
        <s v="Falcon Edge, Sequoia Capital India, Ventures India"/>
        <s v="Mirae Asset, Nexus Venture Partners"/>
        <s v="LCatterton, SoftBank Vision Fund, Tiger Global"/>
        <s v="Falcon Edge, Mirae Asset"/>
        <s v="Prosus Ventures, Y Combinator"/>
        <s v="Lightspeed India, Nexus Venture Partners"/>
        <s v="Elevation Capital, Nexus Venture Partners"/>
        <s v="Kedaara Capital, Peak XV"/>
        <s v="A91 Partners, Kalaari Capital, SoftBank Vision Fund"/>
        <s v="Bessemer Venture Partners, Falcon Edge"/>
        <s v="Prosus Ventures, Tiger Global Management, Zodius Capital"/>
        <s v="Accel, Blume Ventures, Ventures India"/>
        <s v="Accel, Sequoia Capital India, Ventures India"/>
        <s v="Mirae Asset, Omidyar Network"/>
        <s v="Peak XV, Y Combinator"/>
        <s v="Kedaara Capital, Sequoia Capital India"/>
        <s v="Mirae Asset, Ventures India"/>
        <s v="Bessemer Venture Partners, Ventures India"/>
        <s v="A91 Partners, Kalaari Capital, Ventures India"/>
        <s v="Omidyar Network, Ribbit Capital, Ventures India"/>
        <s v="Omidyar Network, SoftBank Vision Fund, Y Combinator"/>
        <s v="A91 Partners, IFC, Kedaara Capital"/>
        <s v="Kalaari Capital, LCatterton, Zodius Capital"/>
        <s v="Info Edge, Peak XV, SoftBank Vision Fund"/>
        <s v="Kalaari Capital, LCatterton"/>
        <s v="IFC, Kalaari Capital, Sequoia Capital India"/>
        <s v="Info Edge, Ventures India"/>
        <s v="Kalaari Capital, Nexus Venture Partners, Ribbit Capital"/>
        <s v="IFC, Prosus Ventures, Ventures India"/>
        <s v="Lightspeed India, Peak XV"/>
        <s v="Omidyar Network, Tiger Global Management, Ventures India"/>
        <s v="A91 Partners, Tiger Global Management, Y Combinator"/>
        <s v="Blume Ventures, Info Edge, Ribbit Capital"/>
        <s v="Accel, IFC, Nexus Venture Partners"/>
        <s v="LCatterton, Prosus Ventures"/>
        <s v="Bessemer Venture Partners, LCatterton, Nexus Venture Partners"/>
        <s v="Peak XV, Tiger Global, Y Combinator"/>
        <s v="Info Edge, SoftBank Vision Fund, Tiger Global"/>
        <s v="Accel, Mirae Asset, Ribbit Capital"/>
        <s v="Kalaari Capital, Tiger Global"/>
        <s v="Falcon Edge, Sequoia Capital India"/>
        <s v="Mirae Asset, Omidyar Network, Tiger Global Management"/>
        <s v="Kalaari Capital, Nexus Venture Partners"/>
        <s v="IFC, Info Edge, Kalaari Capital"/>
        <s v="Falcon Edge, Kalaari Capital"/>
        <s v="Kedaara Capital, Sequoia Capital India, Y Combinator"/>
        <s v="Mirae Asset, Ribbit Capital, Y Combinator"/>
        <s v="Blume Ventures, Mirae Asset"/>
        <s v="Matrix Partners India, SoftBank Vision Fund"/>
        <s v="Accel, IFC, Omidyar Network"/>
        <s v="Lightspeed India, Nexus Venture Partners, Y Combinator"/>
        <s v="IFC, Kedaara Capital"/>
        <s v="Matrix Partners India, Omidyar Network"/>
        <s v="A91 Partners, Nexus Venture Partners, Y Combinator"/>
        <s v="Accel, Lightspeed India"/>
        <s v="Falcon Edge, Info Edge, Tiger Global Management"/>
        <s v="Elevation Capital, Falcon Edge"/>
        <s v="Kalaari Capital, Matrix Partners India"/>
        <s v="A91 Partners, Tiger Global"/>
        <s v="Matrix Partners India, Prosus Ventures"/>
        <s v="Info Edge, Matrix Partners India, Tiger Global Management"/>
        <s v="LCatterton, Omidyar Network, Sequoia Capital India"/>
        <s v="Ribbit Capital, Zodius Capital"/>
        <s v="Omidyar Network, Prosus Ventures"/>
        <s v="Kalaari Capital, Zodius Capital"/>
        <s v="Elevation Capital, Kalaari Capital, Lightspeed India"/>
        <s v="Info Edge, Nexus Venture Partners, Tiger Global Management"/>
        <s v="Omidyar Network, Tiger Global"/>
        <s v="Falcon Edge, Mirae Asset, Y Combinator"/>
        <s v="Matrix Partners India, Nexus Venture Partners, Zodius Capital"/>
        <s v="Mirae Asset, Peak XV"/>
        <s v="Lightspeed India, Matrix Partners India, Omidyar Network"/>
        <s v="Prosus Ventures, Ventures India"/>
        <s v="Elevation Capital, Sequoia Capital India"/>
        <s v="IFC, Kalaari Capital"/>
        <s v="Accel, Kalaari Capital, Ventures India"/>
        <s v="Falcon Edge, Info Edge, Tiger Global"/>
        <s v="Blume Ventures, Kalaari Capital"/>
        <s v="Info Edge, Kalaari Capital, SoftBank Vision Fund"/>
        <s v="IFC, Mirae Asset, SoftBank Vision Fund"/>
        <s v="Omidyar Network, Peak XV, Sequoia Capital India"/>
        <s v="Info Edge, SoftBank Vision Fund"/>
        <s v="IFC, Lightspeed India, Mirae Asset"/>
        <s v="Info Edge, Omidyar Network"/>
        <s v="Bessemer Venture Partners, Peak XV"/>
        <s v="Bessemer Venture Partners, Sequoia Capital India, Zodius Capital"/>
        <s v="Kedaara Capital, Lightspeed India, Ventures India"/>
        <s v="Blume Ventures, Matrix Partners India, Ventures India"/>
        <s v="Kalaari Capital, Mirae Asset, Prosus Ventures"/>
        <s v="Nexus Venture Partners, Peak XV, Prosus Ventures"/>
        <s v="Bessemer Venture Partners, Kedaara Capital, Prosus Ventures"/>
        <s v="Mirae Asset, Zodius Capital"/>
        <s v="A91 Partners, Kedaara Capital, LCatterton"/>
        <s v="Elevation Capital, Omidyar Network, Prosus Ventures"/>
        <s v="Peak XV, Ribbit Capital"/>
        <s v="Info Edge, Ribbit Capital, Y Combinator"/>
        <s v="Elevation Capital, Kedaara Capital, Nexus Venture Partners"/>
        <s v="Nexus Venture Partners, Tiger Global Management, Ventures India"/>
        <s v="Kedaara Capital, Tiger Global Management, Ventures India"/>
        <s v="LCatterton, Matrix Partners India, Ribbit Capital"/>
        <s v="Sequoia Capital India, Zodius Capital"/>
        <s v="Kedaara Capital, LCatterton, Tiger Global Management"/>
        <s v="Blume Ventures, LCatterton"/>
        <s v="SoftBank Vision Fund, Y Combinator"/>
        <s v="Lightspeed India, Mirae Asset, Prosus Ventures"/>
      </sharedItems>
    </cacheField>
    <cacheField name="Investment Type" numFmtId="0">
      <sharedItems/>
    </cacheField>
    <cacheField name="InvestmentAmount_USD" numFmtId="0">
      <sharedItems containsSemiMixedTypes="0" containsString="0" containsNumber="1" containsInteger="1" minValue="5000" maxValue="574676000"/>
    </cacheField>
    <cacheField name="Date" numFmtId="14">
      <sharedItems containsSemiMixedTypes="0" containsNonDate="0" containsDate="1" containsString="0" minDate="2020-01-02T00:00:00" maxDate="2025-07-01T00:00:00"/>
    </cacheField>
    <cacheField name="Year" numFmtId="0">
      <sharedItems containsSemiMixedTypes="0" containsString="0" containsNumber="1" containsInteger="1" minValue="2020" maxValue="2025" count="6">
        <n v="2023"/>
        <n v="2025"/>
        <n v="2021"/>
        <n v="2024"/>
        <n v="2020"/>
        <n v="2022"/>
      </sharedItems>
    </cacheField>
    <cacheField name="Month Name" numFmtId="0">
      <sharedItems/>
    </cacheField>
    <cacheField name="Month" numFmtId="0">
      <sharedItems containsSemiMixedTypes="0" containsString="0" containsNumber="1" containsInteger="1" minValue="1" maxValue="12"/>
    </cacheField>
    <cacheField name="Stage Group" numFmtId="0">
      <sharedItems count="3">
        <s v="Early Stage"/>
        <s v="Growth Stage"/>
        <s v="Late Stage"/>
      </sharedItems>
    </cacheField>
    <cacheField name="Amount Bucket" numFmtId="0">
      <sharedItems count="4">
        <s v="Small (under $1M)"/>
        <s v="Mid ($1M–$10M)"/>
        <s v="Large ($10M–$100M)"/>
        <s v="Mega (above $100M)"/>
      </sharedItems>
    </cacheField>
    <cacheField name="Industry Groups" numFmtId="0">
      <sharedItems count="5">
        <s v="Health &amp; Education"/>
        <s v="Consumer"/>
        <s v="Real Economy"/>
        <s v="Tech"/>
        <s v="Finance"/>
      </sharedItems>
    </cacheField>
  </cacheFields>
  <extLst>
    <ext xmlns:x14="http://schemas.microsoft.com/office/spreadsheetml/2009/9/main" uri="{725AE2AE-9491-48be-B2B4-4EB974FC3084}">
      <x14:pivotCacheDefinition pivotCacheId="1186103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x v="0"/>
    <x v="0"/>
    <s v="K12"/>
    <x v="0"/>
    <x v="0"/>
    <s v="Seed"/>
    <n v="199000"/>
    <d v="2023-04-19T00:00:00"/>
    <x v="0"/>
    <s v="April"/>
    <n v="4"/>
    <x v="0"/>
    <x v="0"/>
    <x v="0"/>
  </r>
  <r>
    <x v="1"/>
    <x v="1"/>
    <s v="Streaming"/>
    <x v="1"/>
    <x v="1"/>
    <s v="Seed"/>
    <n v="1668000"/>
    <d v="2025-01-28T00:00:00"/>
    <x v="1"/>
    <s v="January"/>
    <n v="1"/>
    <x v="0"/>
    <x v="1"/>
    <x v="1"/>
  </r>
  <r>
    <x v="1"/>
    <x v="2"/>
    <s v="Ride Sharing"/>
    <x v="2"/>
    <x v="2"/>
    <s v="Series B"/>
    <n v="38052000"/>
    <d v="2021-03-14T00:00:00"/>
    <x v="2"/>
    <s v="March"/>
    <n v="3"/>
    <x v="1"/>
    <x v="2"/>
    <x v="2"/>
  </r>
  <r>
    <x v="2"/>
    <x v="3"/>
    <s v="Wearables"/>
    <x v="3"/>
    <x v="3"/>
    <s v="Seed"/>
    <n v="455000"/>
    <d v="2023-09-11T00:00:00"/>
    <x v="0"/>
    <s v="September"/>
    <n v="9"/>
    <x v="0"/>
    <x v="0"/>
    <x v="3"/>
  </r>
  <r>
    <x v="3"/>
    <x v="4"/>
    <s v="Rental Tech"/>
    <x v="0"/>
    <x v="4"/>
    <s v="Seed"/>
    <n v="89000"/>
    <d v="2024-01-31T00:00:00"/>
    <x v="3"/>
    <s v="January"/>
    <n v="1"/>
    <x v="0"/>
    <x v="0"/>
    <x v="2"/>
  </r>
  <r>
    <x v="4"/>
    <x v="0"/>
    <s v="Coding Bootcamp"/>
    <x v="4"/>
    <x v="5"/>
    <s v="Pre-Series A"/>
    <n v="143000"/>
    <d v="2021-07-24T00:00:00"/>
    <x v="2"/>
    <s v="July"/>
    <n v="7"/>
    <x v="1"/>
    <x v="0"/>
    <x v="0"/>
  </r>
  <r>
    <x v="5"/>
    <x v="5"/>
    <s v="Fashion"/>
    <x v="0"/>
    <x v="6"/>
    <s v="Seed"/>
    <n v="62000"/>
    <d v="2023-01-12T00:00:00"/>
    <x v="0"/>
    <s v="January"/>
    <n v="1"/>
    <x v="0"/>
    <x v="0"/>
    <x v="1"/>
  </r>
  <r>
    <x v="6"/>
    <x v="3"/>
    <s v="Wearables"/>
    <x v="3"/>
    <x v="7"/>
    <s v="Growth"/>
    <n v="491721000"/>
    <d v="2025-01-22T00:00:00"/>
    <x v="1"/>
    <s v="January"/>
    <n v="1"/>
    <x v="2"/>
    <x v="3"/>
    <x v="3"/>
  </r>
  <r>
    <x v="7"/>
    <x v="6"/>
    <s v="Food Delivery"/>
    <x v="5"/>
    <x v="8"/>
    <s v="Seed"/>
    <n v="459000"/>
    <d v="2023-11-27T00:00:00"/>
    <x v="0"/>
    <s v="November"/>
    <n v="11"/>
    <x v="0"/>
    <x v="0"/>
    <x v="1"/>
  </r>
  <r>
    <x v="8"/>
    <x v="0"/>
    <s v="Test Prep"/>
    <x v="6"/>
    <x v="9"/>
    <s v="Series B"/>
    <n v="35610000"/>
    <d v="2020-05-04T00:00:00"/>
    <x v="4"/>
    <s v="May"/>
    <n v="5"/>
    <x v="1"/>
    <x v="2"/>
    <x v="0"/>
  </r>
  <r>
    <x v="9"/>
    <x v="2"/>
    <s v="Ride Sharing"/>
    <x v="4"/>
    <x v="10"/>
    <s v="Seed"/>
    <n v="54000"/>
    <d v="2020-05-19T00:00:00"/>
    <x v="4"/>
    <s v="May"/>
    <n v="5"/>
    <x v="0"/>
    <x v="0"/>
    <x v="2"/>
  </r>
  <r>
    <x v="10"/>
    <x v="7"/>
    <s v="NeoBank"/>
    <x v="0"/>
    <x v="11"/>
    <s v="Pre-Series A"/>
    <n v="933000"/>
    <d v="2023-04-10T00:00:00"/>
    <x v="0"/>
    <s v="April"/>
    <n v="4"/>
    <x v="1"/>
    <x v="0"/>
    <x v="4"/>
  </r>
  <r>
    <x v="11"/>
    <x v="8"/>
    <s v="DevTools"/>
    <x v="2"/>
    <x v="12"/>
    <s v="Pre-Series A"/>
    <n v="680000"/>
    <d v="2023-10-07T00:00:00"/>
    <x v="0"/>
    <s v="October"/>
    <n v="10"/>
    <x v="1"/>
    <x v="0"/>
    <x v="3"/>
  </r>
  <r>
    <x v="1"/>
    <x v="7"/>
    <s v="InsurTech"/>
    <x v="6"/>
    <x v="13"/>
    <s v="Debt"/>
    <n v="374000"/>
    <d v="2020-07-23T00:00:00"/>
    <x v="4"/>
    <s v="July"/>
    <n v="7"/>
    <x v="2"/>
    <x v="0"/>
    <x v="4"/>
  </r>
  <r>
    <x v="12"/>
    <x v="9"/>
    <s v="Last Mile"/>
    <x v="7"/>
    <x v="14"/>
    <s v="Private Equity"/>
    <n v="151993000"/>
    <d v="2024-12-05T00:00:00"/>
    <x v="3"/>
    <s v="December"/>
    <n v="12"/>
    <x v="2"/>
    <x v="3"/>
    <x v="2"/>
  </r>
  <r>
    <x v="13"/>
    <x v="2"/>
    <s v="Micro Mobility"/>
    <x v="2"/>
    <x v="15"/>
    <s v="Series A"/>
    <n v="1643000"/>
    <d v="2024-07-10T00:00:00"/>
    <x v="3"/>
    <s v="July"/>
    <n v="7"/>
    <x v="1"/>
    <x v="1"/>
    <x v="2"/>
  </r>
  <r>
    <x v="14"/>
    <x v="10"/>
    <s v="Pharmacy"/>
    <x v="0"/>
    <x v="16"/>
    <s v="Private Equity"/>
    <n v="201485000"/>
    <d v="2024-02-29T00:00:00"/>
    <x v="3"/>
    <s v="February"/>
    <n v="2"/>
    <x v="2"/>
    <x v="3"/>
    <x v="0"/>
  </r>
  <r>
    <x v="15"/>
    <x v="0"/>
    <s v="UpSkilling"/>
    <x v="8"/>
    <x v="17"/>
    <s v="Series A"/>
    <n v="4142000"/>
    <d v="2025-01-28T00:00:00"/>
    <x v="1"/>
    <s v="January"/>
    <n v="1"/>
    <x v="1"/>
    <x v="1"/>
    <x v="0"/>
  </r>
  <r>
    <x v="16"/>
    <x v="11"/>
    <s v="Security"/>
    <x v="1"/>
    <x v="18"/>
    <s v="Pre-Seed"/>
    <n v="54000"/>
    <d v="2024-04-28T00:00:00"/>
    <x v="3"/>
    <s v="April"/>
    <n v="4"/>
    <x v="0"/>
    <x v="0"/>
    <x v="3"/>
  </r>
  <r>
    <x v="17"/>
    <x v="10"/>
    <s v="Health Analytics"/>
    <x v="8"/>
    <x v="17"/>
    <s v="Series B"/>
    <n v="11211000"/>
    <d v="2023-02-22T00:00:00"/>
    <x v="0"/>
    <s v="February"/>
    <n v="2"/>
    <x v="1"/>
    <x v="2"/>
    <x v="0"/>
  </r>
  <r>
    <x v="18"/>
    <x v="11"/>
    <s v="Security"/>
    <x v="6"/>
    <x v="19"/>
    <s v="Series A"/>
    <n v="5243000"/>
    <d v="2022-05-30T00:00:00"/>
    <x v="5"/>
    <s v="May"/>
    <n v="5"/>
    <x v="1"/>
    <x v="1"/>
    <x v="3"/>
  </r>
  <r>
    <x v="19"/>
    <x v="5"/>
    <s v="E-Retail"/>
    <x v="7"/>
    <x v="20"/>
    <s v="Seed"/>
    <n v="84000"/>
    <d v="2021-05-26T00:00:00"/>
    <x v="2"/>
    <s v="May"/>
    <n v="5"/>
    <x v="0"/>
    <x v="0"/>
    <x v="1"/>
  </r>
  <r>
    <x v="20"/>
    <x v="12"/>
    <s v="Marketplace"/>
    <x v="4"/>
    <x v="6"/>
    <s v="Angel"/>
    <n v="12000"/>
    <d v="2021-04-29T00:00:00"/>
    <x v="2"/>
    <s v="April"/>
    <n v="4"/>
    <x v="0"/>
    <x v="0"/>
    <x v="2"/>
  </r>
  <r>
    <x v="21"/>
    <x v="7"/>
    <s v="Lending"/>
    <x v="7"/>
    <x v="21"/>
    <s v="Series C"/>
    <n v="53939000"/>
    <d v="2022-04-23T00:00:00"/>
    <x v="5"/>
    <s v="April"/>
    <n v="4"/>
    <x v="2"/>
    <x v="2"/>
    <x v="4"/>
  </r>
  <r>
    <x v="4"/>
    <x v="7"/>
    <s v="InsurTech"/>
    <x v="3"/>
    <x v="22"/>
    <s v="Seed"/>
    <n v="269000"/>
    <d v="2025-02-23T00:00:00"/>
    <x v="1"/>
    <s v="February"/>
    <n v="2"/>
    <x v="0"/>
    <x v="0"/>
    <x v="4"/>
  </r>
  <r>
    <x v="22"/>
    <x v="4"/>
    <s v="PropTech"/>
    <x v="9"/>
    <x v="6"/>
    <s v="Seed"/>
    <n v="905000"/>
    <d v="2024-11-05T00:00:00"/>
    <x v="3"/>
    <s v="November"/>
    <n v="11"/>
    <x v="0"/>
    <x v="0"/>
    <x v="2"/>
  </r>
  <r>
    <x v="23"/>
    <x v="2"/>
    <s v="EV"/>
    <x v="8"/>
    <x v="1"/>
    <s v="Seed"/>
    <n v="104000"/>
    <d v="2020-02-26T00:00:00"/>
    <x v="4"/>
    <s v="February"/>
    <n v="2"/>
    <x v="0"/>
    <x v="0"/>
    <x v="2"/>
  </r>
  <r>
    <x v="24"/>
    <x v="10"/>
    <s v="Pharmacy"/>
    <x v="1"/>
    <x v="23"/>
    <s v="Seed"/>
    <n v="333000"/>
    <d v="2022-06-08T00:00:00"/>
    <x v="5"/>
    <s v="June"/>
    <n v="6"/>
    <x v="0"/>
    <x v="0"/>
    <x v="0"/>
  </r>
  <r>
    <x v="25"/>
    <x v="2"/>
    <s v="Ride Sharing"/>
    <x v="9"/>
    <x v="19"/>
    <s v="Angel"/>
    <n v="29000"/>
    <d v="2021-01-24T00:00:00"/>
    <x v="2"/>
    <s v="January"/>
    <n v="1"/>
    <x v="0"/>
    <x v="0"/>
    <x v="2"/>
  </r>
  <r>
    <x v="26"/>
    <x v="5"/>
    <s v="Fashion"/>
    <x v="3"/>
    <x v="24"/>
    <s v="Pre-Series A"/>
    <n v="111000"/>
    <d v="2020-05-23T00:00:00"/>
    <x v="4"/>
    <s v="May"/>
    <n v="5"/>
    <x v="1"/>
    <x v="0"/>
    <x v="1"/>
  </r>
  <r>
    <x v="27"/>
    <x v="9"/>
    <s v="Fleet Management"/>
    <x v="2"/>
    <x v="25"/>
    <s v="Series B"/>
    <n v="26948000"/>
    <d v="2021-10-30T00:00:00"/>
    <x v="2"/>
    <s v="October"/>
    <n v="10"/>
    <x v="1"/>
    <x v="2"/>
    <x v="2"/>
  </r>
  <r>
    <x v="28"/>
    <x v="6"/>
    <s v="Grocery"/>
    <x v="4"/>
    <x v="26"/>
    <s v="Series A"/>
    <n v="1587000"/>
    <d v="2021-09-08T00:00:00"/>
    <x v="2"/>
    <s v="September"/>
    <n v="9"/>
    <x v="1"/>
    <x v="1"/>
    <x v="1"/>
  </r>
  <r>
    <x v="29"/>
    <x v="5"/>
    <s v="Fashion"/>
    <x v="6"/>
    <x v="27"/>
    <s v="Series B"/>
    <n v="5988000"/>
    <d v="2022-08-10T00:00:00"/>
    <x v="5"/>
    <s v="August"/>
    <n v="8"/>
    <x v="1"/>
    <x v="1"/>
    <x v="1"/>
  </r>
  <r>
    <x v="2"/>
    <x v="5"/>
    <s v="Fashion"/>
    <x v="4"/>
    <x v="28"/>
    <s v="Series B"/>
    <n v="69429000"/>
    <d v="2021-08-04T00:00:00"/>
    <x v="2"/>
    <s v="August"/>
    <n v="8"/>
    <x v="1"/>
    <x v="2"/>
    <x v="1"/>
  </r>
  <r>
    <x v="30"/>
    <x v="11"/>
    <s v="Analytics"/>
    <x v="2"/>
    <x v="29"/>
    <s v="Seed"/>
    <n v="1762000"/>
    <d v="2021-02-11T00:00:00"/>
    <x v="2"/>
    <s v="February"/>
    <n v="2"/>
    <x v="0"/>
    <x v="1"/>
    <x v="3"/>
  </r>
  <r>
    <x v="31"/>
    <x v="12"/>
    <s v="Supply Chain"/>
    <x v="5"/>
    <x v="30"/>
    <s v="Pre-Series A"/>
    <n v="643000"/>
    <d v="2023-07-13T00:00:00"/>
    <x v="0"/>
    <s v="July"/>
    <n v="7"/>
    <x v="1"/>
    <x v="0"/>
    <x v="2"/>
  </r>
  <r>
    <x v="32"/>
    <x v="10"/>
    <s v="Telemedicine"/>
    <x v="0"/>
    <x v="4"/>
    <s v="Series C"/>
    <n v="45633000"/>
    <d v="2021-03-24T00:00:00"/>
    <x v="2"/>
    <s v="March"/>
    <n v="3"/>
    <x v="2"/>
    <x v="2"/>
    <x v="0"/>
  </r>
  <r>
    <x v="33"/>
    <x v="0"/>
    <s v="Test Prep"/>
    <x v="5"/>
    <x v="31"/>
    <s v="Seed"/>
    <n v="72000"/>
    <d v="2022-08-09T00:00:00"/>
    <x v="5"/>
    <s v="August"/>
    <n v="8"/>
    <x v="0"/>
    <x v="0"/>
    <x v="0"/>
  </r>
  <r>
    <x v="5"/>
    <x v="12"/>
    <s v="Marketplace"/>
    <x v="8"/>
    <x v="32"/>
    <s v="Pre-Series A"/>
    <n v="483000"/>
    <d v="2025-01-31T00:00:00"/>
    <x v="1"/>
    <s v="January"/>
    <n v="1"/>
    <x v="1"/>
    <x v="0"/>
    <x v="2"/>
  </r>
  <r>
    <x v="2"/>
    <x v="5"/>
    <s v="E-Retail"/>
    <x v="2"/>
    <x v="33"/>
    <s v="Series C"/>
    <n v="65870000"/>
    <d v="2022-12-03T00:00:00"/>
    <x v="5"/>
    <s v="December"/>
    <n v="12"/>
    <x v="2"/>
    <x v="2"/>
    <x v="1"/>
  </r>
  <r>
    <x v="34"/>
    <x v="1"/>
    <s v="Content"/>
    <x v="3"/>
    <x v="34"/>
    <s v="Seed"/>
    <n v="78000"/>
    <d v="2021-10-16T00:00:00"/>
    <x v="2"/>
    <s v="October"/>
    <n v="10"/>
    <x v="0"/>
    <x v="0"/>
    <x v="1"/>
  </r>
  <r>
    <x v="35"/>
    <x v="1"/>
    <s v="Social"/>
    <x v="0"/>
    <x v="35"/>
    <s v="Pre-Series A"/>
    <n v="313000"/>
    <d v="2021-11-08T00:00:00"/>
    <x v="2"/>
    <s v="November"/>
    <n v="11"/>
    <x v="1"/>
    <x v="0"/>
    <x v="1"/>
  </r>
  <r>
    <x v="36"/>
    <x v="5"/>
    <s v="Fashion"/>
    <x v="1"/>
    <x v="36"/>
    <s v="Series D"/>
    <n v="54120000"/>
    <d v="2024-04-16T00:00:00"/>
    <x v="3"/>
    <s v="April"/>
    <n v="4"/>
    <x v="2"/>
    <x v="2"/>
    <x v="1"/>
  </r>
  <r>
    <x v="37"/>
    <x v="6"/>
    <s v="Food Delivery"/>
    <x v="8"/>
    <x v="37"/>
    <s v="Series B"/>
    <n v="62216000"/>
    <d v="2023-01-23T00:00:00"/>
    <x v="0"/>
    <s v="January"/>
    <n v="1"/>
    <x v="1"/>
    <x v="2"/>
    <x v="1"/>
  </r>
  <r>
    <x v="38"/>
    <x v="7"/>
    <s v="InsurTech"/>
    <x v="7"/>
    <x v="38"/>
    <s v="Series B"/>
    <n v="10246000"/>
    <d v="2024-06-22T00:00:00"/>
    <x v="3"/>
    <s v="June"/>
    <n v="6"/>
    <x v="1"/>
    <x v="2"/>
    <x v="4"/>
  </r>
  <r>
    <x v="39"/>
    <x v="2"/>
    <s v="Ride Sharing"/>
    <x v="9"/>
    <x v="17"/>
    <s v="Series A"/>
    <n v="6014000"/>
    <d v="2023-09-19T00:00:00"/>
    <x v="0"/>
    <s v="September"/>
    <n v="9"/>
    <x v="1"/>
    <x v="1"/>
    <x v="2"/>
  </r>
  <r>
    <x v="40"/>
    <x v="3"/>
    <s v="Audio"/>
    <x v="1"/>
    <x v="39"/>
    <s v="Seed"/>
    <n v="158000"/>
    <d v="2021-11-01T00:00:00"/>
    <x v="2"/>
    <s v="November"/>
    <n v="11"/>
    <x v="0"/>
    <x v="0"/>
    <x v="3"/>
  </r>
  <r>
    <x v="41"/>
    <x v="6"/>
    <s v="Food Delivery"/>
    <x v="9"/>
    <x v="26"/>
    <s v="Seed"/>
    <n v="341000"/>
    <d v="2020-06-16T00:00:00"/>
    <x v="4"/>
    <s v="June"/>
    <n v="6"/>
    <x v="0"/>
    <x v="0"/>
    <x v="1"/>
  </r>
  <r>
    <x v="42"/>
    <x v="13"/>
    <s v="Quick Commerce"/>
    <x v="1"/>
    <x v="18"/>
    <s v="Bridge"/>
    <n v="376000"/>
    <d v="2021-02-12T00:00:00"/>
    <x v="2"/>
    <s v="February"/>
    <n v="2"/>
    <x v="1"/>
    <x v="0"/>
    <x v="1"/>
  </r>
  <r>
    <x v="43"/>
    <x v="4"/>
    <s v="PropTech"/>
    <x v="6"/>
    <x v="40"/>
    <s v="Bridge"/>
    <n v="99000"/>
    <d v="2022-08-10T00:00:00"/>
    <x v="5"/>
    <s v="August"/>
    <n v="8"/>
    <x v="1"/>
    <x v="0"/>
    <x v="2"/>
  </r>
  <r>
    <x v="44"/>
    <x v="5"/>
    <s v="E-Retail"/>
    <x v="2"/>
    <x v="41"/>
    <s v="Seed"/>
    <n v="1788000"/>
    <d v="2020-02-22T00:00:00"/>
    <x v="4"/>
    <s v="February"/>
    <n v="2"/>
    <x v="0"/>
    <x v="1"/>
    <x v="1"/>
  </r>
  <r>
    <x v="45"/>
    <x v="1"/>
    <s v="Social"/>
    <x v="0"/>
    <x v="42"/>
    <s v="Series A"/>
    <n v="8159000"/>
    <d v="2024-08-28T00:00:00"/>
    <x v="3"/>
    <s v="August"/>
    <n v="8"/>
    <x v="1"/>
    <x v="1"/>
    <x v="1"/>
  </r>
  <r>
    <x v="0"/>
    <x v="5"/>
    <s v="Fashion"/>
    <x v="1"/>
    <x v="43"/>
    <s v="Seed"/>
    <n v="1600000"/>
    <d v="2022-05-27T00:00:00"/>
    <x v="5"/>
    <s v="May"/>
    <n v="5"/>
    <x v="0"/>
    <x v="1"/>
    <x v="1"/>
  </r>
  <r>
    <x v="36"/>
    <x v="13"/>
    <s v="Fashion"/>
    <x v="7"/>
    <x v="44"/>
    <s v="Series B"/>
    <n v="59765000"/>
    <d v="2024-08-24T00:00:00"/>
    <x v="3"/>
    <s v="August"/>
    <n v="8"/>
    <x v="1"/>
    <x v="2"/>
    <x v="1"/>
  </r>
  <r>
    <x v="38"/>
    <x v="2"/>
    <s v="EV"/>
    <x v="5"/>
    <x v="45"/>
    <s v="Series A"/>
    <n v="5049000"/>
    <d v="2024-02-06T00:00:00"/>
    <x v="3"/>
    <s v="February"/>
    <n v="2"/>
    <x v="1"/>
    <x v="1"/>
    <x v="2"/>
  </r>
  <r>
    <x v="46"/>
    <x v="9"/>
    <s v="Supply Chain"/>
    <x v="3"/>
    <x v="46"/>
    <s v="Series C"/>
    <n v="242794000"/>
    <d v="2023-03-13T00:00:00"/>
    <x v="0"/>
    <s v="March"/>
    <n v="3"/>
    <x v="2"/>
    <x v="3"/>
    <x v="2"/>
  </r>
  <r>
    <x v="32"/>
    <x v="10"/>
    <s v="Health Analytics"/>
    <x v="3"/>
    <x v="47"/>
    <s v="Pre-Series A"/>
    <n v="123000"/>
    <d v="2021-06-13T00:00:00"/>
    <x v="2"/>
    <s v="June"/>
    <n v="6"/>
    <x v="1"/>
    <x v="0"/>
    <x v="0"/>
  </r>
  <r>
    <x v="47"/>
    <x v="2"/>
    <s v="Ride Sharing"/>
    <x v="0"/>
    <x v="48"/>
    <s v="Seed"/>
    <n v="103000"/>
    <d v="2022-04-12T00:00:00"/>
    <x v="5"/>
    <s v="April"/>
    <n v="4"/>
    <x v="0"/>
    <x v="0"/>
    <x v="2"/>
  </r>
  <r>
    <x v="2"/>
    <x v="3"/>
    <s v="Wearables"/>
    <x v="1"/>
    <x v="49"/>
    <s v="Seed"/>
    <n v="59000"/>
    <d v="2021-03-29T00:00:00"/>
    <x v="2"/>
    <s v="March"/>
    <n v="3"/>
    <x v="0"/>
    <x v="0"/>
    <x v="3"/>
  </r>
  <r>
    <x v="48"/>
    <x v="3"/>
    <s v="Smart Home"/>
    <x v="8"/>
    <x v="50"/>
    <s v="Seed"/>
    <n v="166000"/>
    <d v="2024-03-07T00:00:00"/>
    <x v="3"/>
    <s v="March"/>
    <n v="3"/>
    <x v="0"/>
    <x v="0"/>
    <x v="3"/>
  </r>
  <r>
    <x v="38"/>
    <x v="0"/>
    <s v="Test Prep"/>
    <x v="3"/>
    <x v="51"/>
    <s v="Seed"/>
    <n v="210000"/>
    <d v="2024-03-01T00:00:00"/>
    <x v="3"/>
    <s v="March"/>
    <n v="3"/>
    <x v="0"/>
    <x v="0"/>
    <x v="0"/>
  </r>
  <r>
    <x v="28"/>
    <x v="3"/>
    <s v="Wearables"/>
    <x v="6"/>
    <x v="52"/>
    <s v="Bridge"/>
    <n v="136000"/>
    <d v="2022-12-10T00:00:00"/>
    <x v="5"/>
    <s v="December"/>
    <n v="12"/>
    <x v="1"/>
    <x v="0"/>
    <x v="3"/>
  </r>
  <r>
    <x v="28"/>
    <x v="8"/>
    <s v="DevTools"/>
    <x v="2"/>
    <x v="47"/>
    <s v="Pre-Seed"/>
    <n v="135000"/>
    <d v="2022-12-29T00:00:00"/>
    <x v="5"/>
    <s v="December"/>
    <n v="12"/>
    <x v="0"/>
    <x v="0"/>
    <x v="3"/>
  </r>
  <r>
    <x v="3"/>
    <x v="2"/>
    <s v="EV"/>
    <x v="4"/>
    <x v="53"/>
    <s v="Series B"/>
    <n v="13444000"/>
    <d v="2024-03-21T00:00:00"/>
    <x v="3"/>
    <s v="March"/>
    <n v="3"/>
    <x v="1"/>
    <x v="2"/>
    <x v="2"/>
  </r>
  <r>
    <x v="49"/>
    <x v="3"/>
    <s v="Wearables"/>
    <x v="4"/>
    <x v="54"/>
    <s v="Bridge"/>
    <n v="141000"/>
    <d v="2021-06-01T00:00:00"/>
    <x v="2"/>
    <s v="June"/>
    <n v="6"/>
    <x v="1"/>
    <x v="0"/>
    <x v="3"/>
  </r>
  <r>
    <x v="50"/>
    <x v="4"/>
    <s v="Rental Tech"/>
    <x v="1"/>
    <x v="55"/>
    <s v="Seed"/>
    <n v="370000"/>
    <d v="2024-07-19T00:00:00"/>
    <x v="3"/>
    <s v="July"/>
    <n v="7"/>
    <x v="0"/>
    <x v="0"/>
    <x v="2"/>
  </r>
  <r>
    <x v="10"/>
    <x v="5"/>
    <s v="Grocery"/>
    <x v="6"/>
    <x v="4"/>
    <s v="Series A"/>
    <n v="1465000"/>
    <d v="2023-06-20T00:00:00"/>
    <x v="0"/>
    <s v="June"/>
    <n v="6"/>
    <x v="1"/>
    <x v="1"/>
    <x v="1"/>
  </r>
  <r>
    <x v="51"/>
    <x v="3"/>
    <s v="Wearables"/>
    <x v="6"/>
    <x v="56"/>
    <s v="Debt"/>
    <n v="14625000"/>
    <d v="2021-09-17T00:00:00"/>
    <x v="2"/>
    <s v="September"/>
    <n v="9"/>
    <x v="2"/>
    <x v="2"/>
    <x v="3"/>
  </r>
  <r>
    <x v="52"/>
    <x v="5"/>
    <s v="E-Retail"/>
    <x v="3"/>
    <x v="57"/>
    <s v="Seed"/>
    <n v="66000"/>
    <d v="2020-06-15T00:00:00"/>
    <x v="4"/>
    <s v="June"/>
    <n v="6"/>
    <x v="0"/>
    <x v="0"/>
    <x v="1"/>
  </r>
  <r>
    <x v="34"/>
    <x v="10"/>
    <s v="Telemedicine"/>
    <x v="9"/>
    <x v="58"/>
    <s v="Series A"/>
    <n v="14477000"/>
    <d v="2023-05-01T00:00:00"/>
    <x v="0"/>
    <s v="May"/>
    <n v="5"/>
    <x v="1"/>
    <x v="2"/>
    <x v="0"/>
  </r>
  <r>
    <x v="49"/>
    <x v="3"/>
    <s v="Audio"/>
    <x v="3"/>
    <x v="59"/>
    <s v="Angel"/>
    <n v="51000"/>
    <d v="2024-06-01T00:00:00"/>
    <x v="3"/>
    <s v="June"/>
    <n v="6"/>
    <x v="0"/>
    <x v="0"/>
    <x v="3"/>
  </r>
  <r>
    <x v="44"/>
    <x v="2"/>
    <s v="Ride Sharing"/>
    <x v="4"/>
    <x v="19"/>
    <s v="Angel"/>
    <n v="9000"/>
    <d v="2024-08-19T00:00:00"/>
    <x v="3"/>
    <s v="August"/>
    <n v="8"/>
    <x v="0"/>
    <x v="0"/>
    <x v="2"/>
  </r>
  <r>
    <x v="53"/>
    <x v="5"/>
    <s v="Grocery"/>
    <x v="6"/>
    <x v="39"/>
    <s v="Series B"/>
    <n v="5077000"/>
    <d v="2023-03-11T00:00:00"/>
    <x v="0"/>
    <s v="March"/>
    <n v="3"/>
    <x v="1"/>
    <x v="1"/>
    <x v="1"/>
  </r>
  <r>
    <x v="54"/>
    <x v="1"/>
    <s v="Content"/>
    <x v="9"/>
    <x v="60"/>
    <s v="Bridge"/>
    <n v="1012000"/>
    <d v="2022-10-21T00:00:00"/>
    <x v="5"/>
    <s v="October"/>
    <n v="10"/>
    <x v="1"/>
    <x v="1"/>
    <x v="1"/>
  </r>
  <r>
    <x v="55"/>
    <x v="6"/>
    <s v="Grocery"/>
    <x v="7"/>
    <x v="0"/>
    <s v="Series A"/>
    <n v="6782000"/>
    <d v="2020-02-22T00:00:00"/>
    <x v="4"/>
    <s v="February"/>
    <n v="2"/>
    <x v="1"/>
    <x v="1"/>
    <x v="1"/>
  </r>
  <r>
    <x v="56"/>
    <x v="4"/>
    <s v="Home Services"/>
    <x v="6"/>
    <x v="61"/>
    <s v="Pre-Seed"/>
    <n v="107000"/>
    <d v="2024-03-28T00:00:00"/>
    <x v="3"/>
    <s v="March"/>
    <n v="3"/>
    <x v="0"/>
    <x v="0"/>
    <x v="2"/>
  </r>
  <r>
    <x v="5"/>
    <x v="9"/>
    <s v="Last Mile"/>
    <x v="6"/>
    <x v="62"/>
    <s v="Series A"/>
    <n v="8074000"/>
    <d v="2024-07-25T00:00:00"/>
    <x v="3"/>
    <s v="July"/>
    <n v="7"/>
    <x v="1"/>
    <x v="1"/>
    <x v="2"/>
  </r>
  <r>
    <x v="20"/>
    <x v="8"/>
    <s v="HRTech"/>
    <x v="0"/>
    <x v="63"/>
    <s v="Series D"/>
    <n v="59295000"/>
    <d v="2021-11-06T00:00:00"/>
    <x v="2"/>
    <s v="November"/>
    <n v="11"/>
    <x v="2"/>
    <x v="2"/>
    <x v="3"/>
  </r>
  <r>
    <x v="57"/>
    <x v="2"/>
    <s v="Ride Sharing"/>
    <x v="5"/>
    <x v="64"/>
    <s v="Seed"/>
    <n v="188000"/>
    <d v="2021-05-31T00:00:00"/>
    <x v="2"/>
    <s v="May"/>
    <n v="5"/>
    <x v="0"/>
    <x v="0"/>
    <x v="2"/>
  </r>
  <r>
    <x v="58"/>
    <x v="11"/>
    <s v="Analytics"/>
    <x v="8"/>
    <x v="13"/>
    <s v="Series A"/>
    <n v="1369000"/>
    <d v="2020-04-21T00:00:00"/>
    <x v="4"/>
    <s v="April"/>
    <n v="4"/>
    <x v="1"/>
    <x v="1"/>
    <x v="3"/>
  </r>
  <r>
    <x v="59"/>
    <x v="4"/>
    <s v="Home Services"/>
    <x v="1"/>
    <x v="65"/>
    <s v="Seed"/>
    <n v="1207000"/>
    <d v="2023-01-29T00:00:00"/>
    <x v="0"/>
    <s v="January"/>
    <n v="1"/>
    <x v="0"/>
    <x v="1"/>
    <x v="2"/>
  </r>
  <r>
    <x v="60"/>
    <x v="1"/>
    <s v="Content"/>
    <x v="0"/>
    <x v="66"/>
    <s v="Pre-Seed"/>
    <n v="84000"/>
    <d v="2023-07-14T00:00:00"/>
    <x v="0"/>
    <s v="July"/>
    <n v="7"/>
    <x v="0"/>
    <x v="0"/>
    <x v="1"/>
  </r>
  <r>
    <x v="61"/>
    <x v="2"/>
    <s v="EV"/>
    <x v="0"/>
    <x v="39"/>
    <s v="Seed"/>
    <n v="169000"/>
    <d v="2024-09-19T00:00:00"/>
    <x v="3"/>
    <s v="September"/>
    <n v="9"/>
    <x v="0"/>
    <x v="0"/>
    <x v="2"/>
  </r>
  <r>
    <x v="0"/>
    <x v="4"/>
    <s v="PropTech"/>
    <x v="5"/>
    <x v="67"/>
    <s v="Angel"/>
    <n v="6000"/>
    <d v="2021-08-20T00:00:00"/>
    <x v="2"/>
    <s v="August"/>
    <n v="8"/>
    <x v="0"/>
    <x v="0"/>
    <x v="2"/>
  </r>
  <r>
    <x v="62"/>
    <x v="0"/>
    <s v="Coding Bootcamp"/>
    <x v="8"/>
    <x v="68"/>
    <s v="Seed"/>
    <n v="157000"/>
    <d v="2021-01-25T00:00:00"/>
    <x v="2"/>
    <s v="January"/>
    <n v="1"/>
    <x v="0"/>
    <x v="0"/>
    <x v="0"/>
  </r>
  <r>
    <x v="63"/>
    <x v="9"/>
    <s v="Supply Chain"/>
    <x v="7"/>
    <x v="69"/>
    <s v="Angel"/>
    <n v="13000"/>
    <d v="2022-11-05T00:00:00"/>
    <x v="5"/>
    <s v="November"/>
    <n v="11"/>
    <x v="0"/>
    <x v="0"/>
    <x v="2"/>
  </r>
  <r>
    <x v="49"/>
    <x v="11"/>
    <s v="Automation"/>
    <x v="6"/>
    <x v="39"/>
    <s v="Debt"/>
    <n v="9315000"/>
    <d v="2022-09-29T00:00:00"/>
    <x v="5"/>
    <s v="September"/>
    <n v="9"/>
    <x v="2"/>
    <x v="1"/>
    <x v="3"/>
  </r>
  <r>
    <x v="62"/>
    <x v="2"/>
    <s v="Micro Mobility"/>
    <x v="9"/>
    <x v="6"/>
    <s v="Series A"/>
    <n v="5621000"/>
    <d v="2021-10-21T00:00:00"/>
    <x v="2"/>
    <s v="October"/>
    <n v="10"/>
    <x v="1"/>
    <x v="1"/>
    <x v="2"/>
  </r>
  <r>
    <x v="43"/>
    <x v="0"/>
    <s v="Coding Bootcamp"/>
    <x v="1"/>
    <x v="70"/>
    <s v="Seed"/>
    <n v="1319000"/>
    <d v="2022-08-26T00:00:00"/>
    <x v="5"/>
    <s v="August"/>
    <n v="8"/>
    <x v="0"/>
    <x v="1"/>
    <x v="0"/>
  </r>
  <r>
    <x v="18"/>
    <x v="7"/>
    <s v="Lending"/>
    <x v="8"/>
    <x v="1"/>
    <s v="Bridge"/>
    <n v="285000"/>
    <d v="2021-11-10T00:00:00"/>
    <x v="2"/>
    <s v="November"/>
    <n v="11"/>
    <x v="1"/>
    <x v="0"/>
    <x v="4"/>
  </r>
  <r>
    <x v="60"/>
    <x v="13"/>
    <s v="Grocery"/>
    <x v="5"/>
    <x v="71"/>
    <s v="Pre-Seed"/>
    <n v="26000"/>
    <d v="2020-10-22T00:00:00"/>
    <x v="4"/>
    <s v="October"/>
    <n v="10"/>
    <x v="0"/>
    <x v="0"/>
    <x v="1"/>
  </r>
  <r>
    <x v="34"/>
    <x v="3"/>
    <s v="Wearables"/>
    <x v="7"/>
    <x v="72"/>
    <s v="Series A"/>
    <n v="6900000"/>
    <d v="2022-03-25T00:00:00"/>
    <x v="5"/>
    <s v="March"/>
    <n v="3"/>
    <x v="1"/>
    <x v="1"/>
    <x v="3"/>
  </r>
  <r>
    <x v="51"/>
    <x v="4"/>
    <s v="Rental Tech"/>
    <x v="5"/>
    <x v="73"/>
    <s v="Growth"/>
    <n v="372329000"/>
    <d v="2020-03-14T00:00:00"/>
    <x v="4"/>
    <s v="March"/>
    <n v="3"/>
    <x v="2"/>
    <x v="3"/>
    <x v="2"/>
  </r>
  <r>
    <x v="29"/>
    <x v="1"/>
    <s v="Social"/>
    <x v="9"/>
    <x v="74"/>
    <s v="Bridge"/>
    <n v="396000"/>
    <d v="2024-04-06T00:00:00"/>
    <x v="3"/>
    <s v="April"/>
    <n v="4"/>
    <x v="1"/>
    <x v="0"/>
    <x v="1"/>
  </r>
  <r>
    <x v="64"/>
    <x v="7"/>
    <s v="Payments"/>
    <x v="7"/>
    <x v="14"/>
    <s v="Series C"/>
    <n v="161346000"/>
    <d v="2021-08-23T00:00:00"/>
    <x v="2"/>
    <s v="August"/>
    <n v="8"/>
    <x v="2"/>
    <x v="3"/>
    <x v="4"/>
  </r>
  <r>
    <x v="65"/>
    <x v="6"/>
    <s v="Grocery"/>
    <x v="4"/>
    <x v="75"/>
    <s v="Seed"/>
    <n v="309000"/>
    <d v="2020-06-10T00:00:00"/>
    <x v="4"/>
    <s v="June"/>
    <n v="6"/>
    <x v="0"/>
    <x v="0"/>
    <x v="1"/>
  </r>
  <r>
    <x v="43"/>
    <x v="12"/>
    <s v="Supply Chain"/>
    <x v="3"/>
    <x v="76"/>
    <s v="Series A"/>
    <n v="4119000"/>
    <d v="2021-06-04T00:00:00"/>
    <x v="2"/>
    <s v="June"/>
    <n v="6"/>
    <x v="1"/>
    <x v="1"/>
    <x v="2"/>
  </r>
  <r>
    <x v="54"/>
    <x v="9"/>
    <s v="Fleet Management"/>
    <x v="8"/>
    <x v="6"/>
    <s v="Seed"/>
    <n v="242000"/>
    <d v="2022-06-23T00:00:00"/>
    <x v="5"/>
    <s v="June"/>
    <n v="6"/>
    <x v="0"/>
    <x v="0"/>
    <x v="2"/>
  </r>
  <r>
    <x v="64"/>
    <x v="4"/>
    <s v="Home Services"/>
    <x v="2"/>
    <x v="6"/>
    <s v="Series A"/>
    <n v="1071000"/>
    <d v="2021-09-10T00:00:00"/>
    <x v="2"/>
    <s v="September"/>
    <n v="9"/>
    <x v="1"/>
    <x v="1"/>
    <x v="2"/>
  </r>
  <r>
    <x v="62"/>
    <x v="6"/>
    <s v="Grocery"/>
    <x v="7"/>
    <x v="29"/>
    <s v="Series A"/>
    <n v="1339000"/>
    <d v="2023-12-03T00:00:00"/>
    <x v="0"/>
    <s v="December"/>
    <n v="12"/>
    <x v="1"/>
    <x v="1"/>
    <x v="1"/>
  </r>
  <r>
    <x v="66"/>
    <x v="12"/>
    <s v="Marketplace"/>
    <x v="1"/>
    <x v="77"/>
    <s v="Angel"/>
    <n v="5000"/>
    <d v="2024-03-06T00:00:00"/>
    <x v="3"/>
    <s v="March"/>
    <n v="3"/>
    <x v="0"/>
    <x v="0"/>
    <x v="2"/>
  </r>
  <r>
    <x v="22"/>
    <x v="8"/>
    <s v="DevTools"/>
    <x v="3"/>
    <x v="78"/>
    <s v="Series A"/>
    <n v="5604000"/>
    <d v="2023-10-20T00:00:00"/>
    <x v="0"/>
    <s v="October"/>
    <n v="10"/>
    <x v="1"/>
    <x v="1"/>
    <x v="3"/>
  </r>
  <r>
    <x v="67"/>
    <x v="4"/>
    <s v="Rental Tech"/>
    <x v="1"/>
    <x v="79"/>
    <s v="Seed"/>
    <n v="159000"/>
    <d v="2022-06-21T00:00:00"/>
    <x v="5"/>
    <s v="June"/>
    <n v="6"/>
    <x v="0"/>
    <x v="0"/>
    <x v="2"/>
  </r>
  <r>
    <x v="68"/>
    <x v="9"/>
    <s v="Supply Chain"/>
    <x v="9"/>
    <x v="80"/>
    <s v="Seed"/>
    <n v="326000"/>
    <d v="2020-09-27T00:00:00"/>
    <x v="4"/>
    <s v="September"/>
    <n v="9"/>
    <x v="0"/>
    <x v="0"/>
    <x v="2"/>
  </r>
  <r>
    <x v="69"/>
    <x v="11"/>
    <s v="Analytics"/>
    <x v="2"/>
    <x v="81"/>
    <s v="Angel"/>
    <n v="76000"/>
    <d v="2025-04-17T00:00:00"/>
    <x v="1"/>
    <s v="April"/>
    <n v="4"/>
    <x v="0"/>
    <x v="0"/>
    <x v="3"/>
  </r>
  <r>
    <x v="41"/>
    <x v="3"/>
    <s v="Audio"/>
    <x v="4"/>
    <x v="82"/>
    <s v="Series C"/>
    <n v="39284000"/>
    <d v="2021-04-07T00:00:00"/>
    <x v="2"/>
    <s v="April"/>
    <n v="4"/>
    <x v="2"/>
    <x v="2"/>
    <x v="3"/>
  </r>
  <r>
    <x v="19"/>
    <x v="13"/>
    <s v="Fashion"/>
    <x v="1"/>
    <x v="83"/>
    <s v="Seed"/>
    <n v="227000"/>
    <d v="2020-09-10T00:00:00"/>
    <x v="4"/>
    <s v="September"/>
    <n v="9"/>
    <x v="0"/>
    <x v="0"/>
    <x v="1"/>
  </r>
  <r>
    <x v="17"/>
    <x v="12"/>
    <s v="Smart Farming"/>
    <x v="7"/>
    <x v="84"/>
    <s v="Seed"/>
    <n v="812000"/>
    <d v="2021-04-23T00:00:00"/>
    <x v="2"/>
    <s v="April"/>
    <n v="4"/>
    <x v="0"/>
    <x v="0"/>
    <x v="2"/>
  </r>
  <r>
    <x v="70"/>
    <x v="0"/>
    <s v="Test Prep"/>
    <x v="5"/>
    <x v="85"/>
    <s v="Angel"/>
    <n v="10000"/>
    <d v="2021-09-10T00:00:00"/>
    <x v="2"/>
    <s v="September"/>
    <n v="9"/>
    <x v="0"/>
    <x v="0"/>
    <x v="0"/>
  </r>
  <r>
    <x v="71"/>
    <x v="3"/>
    <s v="Audio"/>
    <x v="0"/>
    <x v="86"/>
    <s v="Seed"/>
    <n v="66000"/>
    <d v="2023-01-05T00:00:00"/>
    <x v="0"/>
    <s v="January"/>
    <n v="1"/>
    <x v="0"/>
    <x v="0"/>
    <x v="3"/>
  </r>
  <r>
    <x v="48"/>
    <x v="4"/>
    <s v="Rental Tech"/>
    <x v="8"/>
    <x v="87"/>
    <s v="Pre-Series A"/>
    <n v="195000"/>
    <d v="2024-02-29T00:00:00"/>
    <x v="3"/>
    <s v="February"/>
    <n v="2"/>
    <x v="1"/>
    <x v="0"/>
    <x v="2"/>
  </r>
  <r>
    <x v="72"/>
    <x v="9"/>
    <s v="Last Mile"/>
    <x v="7"/>
    <x v="1"/>
    <s v="Seed"/>
    <n v="91000"/>
    <d v="2022-06-29T00:00:00"/>
    <x v="5"/>
    <s v="June"/>
    <n v="6"/>
    <x v="0"/>
    <x v="0"/>
    <x v="2"/>
  </r>
  <r>
    <x v="52"/>
    <x v="4"/>
    <s v="Home Services"/>
    <x v="8"/>
    <x v="19"/>
    <s v="Angel"/>
    <n v="81000"/>
    <d v="2023-08-13T00:00:00"/>
    <x v="0"/>
    <s v="August"/>
    <n v="8"/>
    <x v="0"/>
    <x v="0"/>
    <x v="2"/>
  </r>
  <r>
    <x v="47"/>
    <x v="13"/>
    <s v="Fashion"/>
    <x v="0"/>
    <x v="88"/>
    <s v="Series B"/>
    <n v="46994000"/>
    <d v="2023-08-07T00:00:00"/>
    <x v="0"/>
    <s v="August"/>
    <n v="8"/>
    <x v="1"/>
    <x v="2"/>
    <x v="1"/>
  </r>
  <r>
    <x v="31"/>
    <x v="5"/>
    <s v="Fashion"/>
    <x v="3"/>
    <x v="0"/>
    <s v="Seed"/>
    <n v="517000"/>
    <d v="2024-04-16T00:00:00"/>
    <x v="3"/>
    <s v="April"/>
    <n v="4"/>
    <x v="0"/>
    <x v="0"/>
    <x v="1"/>
  </r>
  <r>
    <x v="73"/>
    <x v="8"/>
    <s v="DevTools"/>
    <x v="6"/>
    <x v="6"/>
    <s v="Pre-Seed"/>
    <n v="149000"/>
    <d v="2024-10-24T00:00:00"/>
    <x v="3"/>
    <s v="October"/>
    <n v="10"/>
    <x v="0"/>
    <x v="0"/>
    <x v="3"/>
  </r>
  <r>
    <x v="74"/>
    <x v="13"/>
    <s v="Quick Commerce"/>
    <x v="4"/>
    <x v="79"/>
    <s v="Pre-Seed"/>
    <n v="127000"/>
    <d v="2024-06-05T00:00:00"/>
    <x v="3"/>
    <s v="June"/>
    <n v="6"/>
    <x v="0"/>
    <x v="0"/>
    <x v="1"/>
  </r>
  <r>
    <x v="75"/>
    <x v="10"/>
    <s v="Pharmacy"/>
    <x v="1"/>
    <x v="54"/>
    <s v="Seed"/>
    <n v="100000"/>
    <d v="2022-05-12T00:00:00"/>
    <x v="5"/>
    <s v="May"/>
    <n v="5"/>
    <x v="0"/>
    <x v="0"/>
    <x v="0"/>
  </r>
  <r>
    <x v="76"/>
    <x v="2"/>
    <s v="Micro Mobility"/>
    <x v="0"/>
    <x v="89"/>
    <s v="Series A"/>
    <n v="11213000"/>
    <d v="2021-03-29T00:00:00"/>
    <x v="2"/>
    <s v="March"/>
    <n v="3"/>
    <x v="1"/>
    <x v="2"/>
    <x v="2"/>
  </r>
  <r>
    <x v="71"/>
    <x v="3"/>
    <s v="Smart Home"/>
    <x v="1"/>
    <x v="90"/>
    <s v="Seed"/>
    <n v="366000"/>
    <d v="2022-09-07T00:00:00"/>
    <x v="5"/>
    <s v="September"/>
    <n v="9"/>
    <x v="0"/>
    <x v="0"/>
    <x v="3"/>
  </r>
  <r>
    <x v="5"/>
    <x v="13"/>
    <s v="Quick Commerce"/>
    <x v="7"/>
    <x v="47"/>
    <s v="Series A"/>
    <n v="8905000"/>
    <d v="2020-05-14T00:00:00"/>
    <x v="4"/>
    <s v="May"/>
    <n v="5"/>
    <x v="1"/>
    <x v="1"/>
    <x v="1"/>
  </r>
  <r>
    <x v="70"/>
    <x v="12"/>
    <s v="Marketplace"/>
    <x v="2"/>
    <x v="91"/>
    <s v="Series A"/>
    <n v="11321000"/>
    <d v="2023-05-24T00:00:00"/>
    <x v="0"/>
    <s v="May"/>
    <n v="5"/>
    <x v="1"/>
    <x v="2"/>
    <x v="2"/>
  </r>
  <r>
    <x v="77"/>
    <x v="0"/>
    <s v="Coding Bootcamp"/>
    <x v="7"/>
    <x v="50"/>
    <s v="Series C"/>
    <n v="47319000"/>
    <d v="2022-03-27T00:00:00"/>
    <x v="5"/>
    <s v="March"/>
    <n v="3"/>
    <x v="2"/>
    <x v="2"/>
    <x v="0"/>
  </r>
  <r>
    <x v="25"/>
    <x v="8"/>
    <s v="DevTools"/>
    <x v="5"/>
    <x v="17"/>
    <s v="Seed"/>
    <n v="75000"/>
    <d v="2024-08-30T00:00:00"/>
    <x v="3"/>
    <s v="August"/>
    <n v="8"/>
    <x v="0"/>
    <x v="0"/>
    <x v="3"/>
  </r>
  <r>
    <x v="67"/>
    <x v="1"/>
    <s v="Streaming"/>
    <x v="7"/>
    <x v="79"/>
    <s v="Series C"/>
    <n v="37077000"/>
    <d v="2023-02-13T00:00:00"/>
    <x v="0"/>
    <s v="February"/>
    <n v="2"/>
    <x v="2"/>
    <x v="2"/>
    <x v="1"/>
  </r>
  <r>
    <x v="78"/>
    <x v="6"/>
    <s v="Food Delivery"/>
    <x v="9"/>
    <x v="6"/>
    <s v="Growth"/>
    <n v="154344000"/>
    <d v="2024-01-16T00:00:00"/>
    <x v="3"/>
    <s v="January"/>
    <n v="1"/>
    <x v="2"/>
    <x v="3"/>
    <x v="1"/>
  </r>
  <r>
    <x v="61"/>
    <x v="12"/>
    <s v="Marketplace"/>
    <x v="3"/>
    <x v="1"/>
    <s v="Seed"/>
    <n v="1022000"/>
    <d v="2022-09-14T00:00:00"/>
    <x v="5"/>
    <s v="September"/>
    <n v="9"/>
    <x v="0"/>
    <x v="1"/>
    <x v="2"/>
  </r>
  <r>
    <x v="42"/>
    <x v="8"/>
    <s v="B2B SaaS"/>
    <x v="2"/>
    <x v="92"/>
    <s v="Series A"/>
    <n v="10287000"/>
    <d v="2024-07-11T00:00:00"/>
    <x v="3"/>
    <s v="July"/>
    <n v="7"/>
    <x v="1"/>
    <x v="2"/>
    <x v="3"/>
  </r>
  <r>
    <x v="79"/>
    <x v="4"/>
    <s v="Rental Tech"/>
    <x v="2"/>
    <x v="93"/>
    <s v="Pre-Seed"/>
    <n v="20000"/>
    <d v="2021-07-13T00:00:00"/>
    <x v="2"/>
    <s v="July"/>
    <n v="7"/>
    <x v="0"/>
    <x v="0"/>
    <x v="2"/>
  </r>
  <r>
    <x v="80"/>
    <x v="12"/>
    <s v="Marketplace"/>
    <x v="9"/>
    <x v="94"/>
    <s v="Seed"/>
    <n v="329000"/>
    <d v="2024-02-26T00:00:00"/>
    <x v="3"/>
    <s v="February"/>
    <n v="2"/>
    <x v="0"/>
    <x v="0"/>
    <x v="2"/>
  </r>
  <r>
    <x v="45"/>
    <x v="8"/>
    <s v="DevTools"/>
    <x v="7"/>
    <x v="95"/>
    <s v="Seed"/>
    <n v="233000"/>
    <d v="2021-10-26T00:00:00"/>
    <x v="2"/>
    <s v="October"/>
    <n v="10"/>
    <x v="0"/>
    <x v="0"/>
    <x v="3"/>
  </r>
  <r>
    <x v="8"/>
    <x v="12"/>
    <s v="Supply Chain"/>
    <x v="0"/>
    <x v="96"/>
    <s v="Seed"/>
    <n v="113000"/>
    <d v="2023-09-17T00:00:00"/>
    <x v="0"/>
    <s v="September"/>
    <n v="9"/>
    <x v="0"/>
    <x v="0"/>
    <x v="2"/>
  </r>
  <r>
    <x v="38"/>
    <x v="2"/>
    <s v="Ride Sharing"/>
    <x v="7"/>
    <x v="97"/>
    <s v="Pre-Series A"/>
    <n v="132000"/>
    <d v="2021-08-03T00:00:00"/>
    <x v="2"/>
    <s v="August"/>
    <n v="8"/>
    <x v="1"/>
    <x v="0"/>
    <x v="2"/>
  </r>
  <r>
    <x v="81"/>
    <x v="12"/>
    <s v="Supply Chain"/>
    <x v="1"/>
    <x v="98"/>
    <s v="Seed"/>
    <n v="174000"/>
    <d v="2025-04-20T00:00:00"/>
    <x v="1"/>
    <s v="April"/>
    <n v="4"/>
    <x v="0"/>
    <x v="0"/>
    <x v="2"/>
  </r>
  <r>
    <x v="82"/>
    <x v="13"/>
    <s v="Quick Commerce"/>
    <x v="5"/>
    <x v="14"/>
    <s v="Series B"/>
    <n v="68288000"/>
    <d v="2020-12-25T00:00:00"/>
    <x v="4"/>
    <s v="December"/>
    <n v="12"/>
    <x v="1"/>
    <x v="2"/>
    <x v="1"/>
  </r>
  <r>
    <x v="22"/>
    <x v="11"/>
    <s v="Automation"/>
    <x v="7"/>
    <x v="99"/>
    <s v="Seed"/>
    <n v="165000"/>
    <d v="2024-10-30T00:00:00"/>
    <x v="3"/>
    <s v="October"/>
    <n v="10"/>
    <x v="0"/>
    <x v="0"/>
    <x v="3"/>
  </r>
  <r>
    <x v="25"/>
    <x v="12"/>
    <s v="Smart Farming"/>
    <x v="9"/>
    <x v="6"/>
    <s v="Seed"/>
    <n v="339000"/>
    <d v="2022-04-09T00:00:00"/>
    <x v="5"/>
    <s v="April"/>
    <n v="4"/>
    <x v="0"/>
    <x v="0"/>
    <x v="2"/>
  </r>
  <r>
    <x v="83"/>
    <x v="5"/>
    <s v="Fashion"/>
    <x v="5"/>
    <x v="17"/>
    <s v="Series D"/>
    <n v="252342000"/>
    <d v="2025-02-26T00:00:00"/>
    <x v="1"/>
    <s v="February"/>
    <n v="2"/>
    <x v="2"/>
    <x v="3"/>
    <x v="1"/>
  </r>
  <r>
    <x v="4"/>
    <x v="12"/>
    <s v="Smart Farming"/>
    <x v="8"/>
    <x v="98"/>
    <s v="Seed"/>
    <n v="191000"/>
    <d v="2024-11-17T00:00:00"/>
    <x v="3"/>
    <s v="November"/>
    <n v="11"/>
    <x v="0"/>
    <x v="0"/>
    <x v="2"/>
  </r>
  <r>
    <x v="84"/>
    <x v="10"/>
    <s v="Telemedicine"/>
    <x v="8"/>
    <x v="100"/>
    <s v="Series B"/>
    <n v="73980000"/>
    <d v="2022-12-22T00:00:00"/>
    <x v="5"/>
    <s v="December"/>
    <n v="12"/>
    <x v="1"/>
    <x v="2"/>
    <x v="0"/>
  </r>
  <r>
    <x v="42"/>
    <x v="11"/>
    <s v="Automation"/>
    <x v="4"/>
    <x v="0"/>
    <s v="Seed"/>
    <n v="1741000"/>
    <d v="2020-10-26T00:00:00"/>
    <x v="4"/>
    <s v="October"/>
    <n v="10"/>
    <x v="0"/>
    <x v="1"/>
    <x v="3"/>
  </r>
  <r>
    <x v="8"/>
    <x v="4"/>
    <s v="PropTech"/>
    <x v="4"/>
    <x v="101"/>
    <s v="Bridge"/>
    <n v="127000"/>
    <d v="2023-07-10T00:00:00"/>
    <x v="0"/>
    <s v="July"/>
    <n v="7"/>
    <x v="1"/>
    <x v="0"/>
    <x v="2"/>
  </r>
  <r>
    <x v="76"/>
    <x v="12"/>
    <s v="Marketplace"/>
    <x v="6"/>
    <x v="102"/>
    <s v="Seed"/>
    <n v="313000"/>
    <d v="2025-06-11T00:00:00"/>
    <x v="1"/>
    <s v="June"/>
    <n v="6"/>
    <x v="0"/>
    <x v="0"/>
    <x v="2"/>
  </r>
  <r>
    <x v="71"/>
    <x v="5"/>
    <s v="Grocery"/>
    <x v="6"/>
    <x v="103"/>
    <s v="Seed"/>
    <n v="152000"/>
    <d v="2022-11-05T00:00:00"/>
    <x v="5"/>
    <s v="November"/>
    <n v="11"/>
    <x v="0"/>
    <x v="0"/>
    <x v="1"/>
  </r>
  <r>
    <x v="85"/>
    <x v="8"/>
    <s v="HRTech"/>
    <x v="0"/>
    <x v="79"/>
    <s v="Series B"/>
    <n v="11014000"/>
    <d v="2025-06-24T00:00:00"/>
    <x v="1"/>
    <s v="June"/>
    <n v="6"/>
    <x v="1"/>
    <x v="2"/>
    <x v="3"/>
  </r>
  <r>
    <x v="12"/>
    <x v="6"/>
    <s v="Food Delivery"/>
    <x v="6"/>
    <x v="104"/>
    <s v="Series A"/>
    <n v="1105000"/>
    <d v="2024-06-09T00:00:00"/>
    <x v="3"/>
    <s v="June"/>
    <n v="6"/>
    <x v="1"/>
    <x v="1"/>
    <x v="1"/>
  </r>
  <r>
    <x v="86"/>
    <x v="3"/>
    <s v="Smart Home"/>
    <x v="4"/>
    <x v="69"/>
    <s v="Bridge"/>
    <n v="474000"/>
    <d v="2022-07-11T00:00:00"/>
    <x v="5"/>
    <s v="July"/>
    <n v="7"/>
    <x v="1"/>
    <x v="0"/>
    <x v="3"/>
  </r>
  <r>
    <x v="87"/>
    <x v="13"/>
    <s v="Grocery"/>
    <x v="4"/>
    <x v="105"/>
    <s v="Pre-Seed"/>
    <n v="64000"/>
    <d v="2023-12-20T00:00:00"/>
    <x v="0"/>
    <s v="December"/>
    <n v="12"/>
    <x v="0"/>
    <x v="0"/>
    <x v="1"/>
  </r>
  <r>
    <x v="13"/>
    <x v="9"/>
    <s v="Supply Chain"/>
    <x v="9"/>
    <x v="73"/>
    <s v="Series C"/>
    <n v="22992000"/>
    <d v="2023-10-22T00:00:00"/>
    <x v="0"/>
    <s v="October"/>
    <n v="10"/>
    <x v="2"/>
    <x v="2"/>
    <x v="2"/>
  </r>
  <r>
    <x v="88"/>
    <x v="13"/>
    <s v="Grocery"/>
    <x v="9"/>
    <x v="106"/>
    <s v="Seed"/>
    <n v="140000"/>
    <d v="2024-01-22T00:00:00"/>
    <x v="3"/>
    <s v="January"/>
    <n v="1"/>
    <x v="0"/>
    <x v="0"/>
    <x v="1"/>
  </r>
  <r>
    <x v="89"/>
    <x v="10"/>
    <s v="Pharmacy"/>
    <x v="2"/>
    <x v="107"/>
    <s v="Bridge"/>
    <n v="1426000"/>
    <d v="2023-12-01T00:00:00"/>
    <x v="0"/>
    <s v="December"/>
    <n v="12"/>
    <x v="1"/>
    <x v="1"/>
    <x v="0"/>
  </r>
  <r>
    <x v="61"/>
    <x v="4"/>
    <s v="Home Services"/>
    <x v="4"/>
    <x v="108"/>
    <s v="Series B"/>
    <n v="9715000"/>
    <d v="2024-08-24T00:00:00"/>
    <x v="3"/>
    <s v="August"/>
    <n v="8"/>
    <x v="1"/>
    <x v="1"/>
    <x v="2"/>
  </r>
  <r>
    <x v="16"/>
    <x v="2"/>
    <s v="EV"/>
    <x v="1"/>
    <x v="103"/>
    <s v="Pre-Series A"/>
    <n v="140000"/>
    <d v="2021-01-04T00:00:00"/>
    <x v="2"/>
    <s v="January"/>
    <n v="1"/>
    <x v="1"/>
    <x v="0"/>
    <x v="2"/>
  </r>
  <r>
    <x v="90"/>
    <x v="0"/>
    <s v="K12"/>
    <x v="4"/>
    <x v="13"/>
    <s v="Seed"/>
    <n v="304000"/>
    <d v="2021-08-28T00:00:00"/>
    <x v="2"/>
    <s v="August"/>
    <n v="8"/>
    <x v="0"/>
    <x v="0"/>
    <x v="0"/>
  </r>
  <r>
    <x v="91"/>
    <x v="5"/>
    <s v="Fashion"/>
    <x v="4"/>
    <x v="7"/>
    <s v="Series A"/>
    <n v="14428000"/>
    <d v="2020-11-11T00:00:00"/>
    <x v="4"/>
    <s v="November"/>
    <n v="11"/>
    <x v="1"/>
    <x v="2"/>
    <x v="1"/>
  </r>
  <r>
    <x v="53"/>
    <x v="1"/>
    <s v="Content"/>
    <x v="1"/>
    <x v="109"/>
    <s v="Pre-Series A"/>
    <n v="175000"/>
    <d v="2023-10-17T00:00:00"/>
    <x v="0"/>
    <s v="October"/>
    <n v="10"/>
    <x v="1"/>
    <x v="0"/>
    <x v="1"/>
  </r>
  <r>
    <x v="76"/>
    <x v="0"/>
    <s v="UpSkilling"/>
    <x v="5"/>
    <x v="110"/>
    <s v="Angel"/>
    <n v="37000"/>
    <d v="2021-02-01T00:00:00"/>
    <x v="2"/>
    <s v="February"/>
    <n v="2"/>
    <x v="0"/>
    <x v="0"/>
    <x v="0"/>
  </r>
  <r>
    <x v="60"/>
    <x v="3"/>
    <s v="Wearables"/>
    <x v="9"/>
    <x v="69"/>
    <s v="Series A"/>
    <n v="7866000"/>
    <d v="2022-05-07T00:00:00"/>
    <x v="5"/>
    <s v="May"/>
    <n v="5"/>
    <x v="1"/>
    <x v="1"/>
    <x v="3"/>
  </r>
  <r>
    <x v="92"/>
    <x v="7"/>
    <s v="InsurTech"/>
    <x v="7"/>
    <x v="111"/>
    <s v="Series A"/>
    <n v="1903000"/>
    <d v="2020-07-29T00:00:00"/>
    <x v="4"/>
    <s v="July"/>
    <n v="7"/>
    <x v="1"/>
    <x v="1"/>
    <x v="4"/>
  </r>
  <r>
    <x v="93"/>
    <x v="9"/>
    <s v="Supply Chain"/>
    <x v="8"/>
    <x v="65"/>
    <s v="Seed"/>
    <n v="734000"/>
    <d v="2022-06-14T00:00:00"/>
    <x v="5"/>
    <s v="June"/>
    <n v="6"/>
    <x v="0"/>
    <x v="0"/>
    <x v="2"/>
  </r>
  <r>
    <x v="84"/>
    <x v="8"/>
    <s v="B2B SaaS"/>
    <x v="9"/>
    <x v="57"/>
    <s v="Seed"/>
    <n v="194000"/>
    <d v="2022-10-25T00:00:00"/>
    <x v="5"/>
    <s v="October"/>
    <n v="10"/>
    <x v="0"/>
    <x v="0"/>
    <x v="3"/>
  </r>
  <r>
    <x v="89"/>
    <x v="7"/>
    <s v="WealthTech"/>
    <x v="0"/>
    <x v="4"/>
    <s v="Series D"/>
    <n v="214425000"/>
    <d v="2023-08-24T00:00:00"/>
    <x v="0"/>
    <s v="August"/>
    <n v="8"/>
    <x v="2"/>
    <x v="3"/>
    <x v="4"/>
  </r>
  <r>
    <x v="94"/>
    <x v="11"/>
    <s v="Security"/>
    <x v="4"/>
    <x v="112"/>
    <s v="Series C"/>
    <n v="111204000"/>
    <d v="2022-08-18T00:00:00"/>
    <x v="5"/>
    <s v="August"/>
    <n v="8"/>
    <x v="2"/>
    <x v="3"/>
    <x v="3"/>
  </r>
  <r>
    <x v="75"/>
    <x v="9"/>
    <s v="Last Mile"/>
    <x v="4"/>
    <x v="113"/>
    <s v="Series A"/>
    <n v="4267000"/>
    <d v="2024-01-29T00:00:00"/>
    <x v="3"/>
    <s v="January"/>
    <n v="1"/>
    <x v="1"/>
    <x v="1"/>
    <x v="2"/>
  </r>
  <r>
    <x v="29"/>
    <x v="13"/>
    <s v="Quick Commerce"/>
    <x v="3"/>
    <x v="90"/>
    <s v="Pre-Series A"/>
    <n v="123000"/>
    <d v="2024-06-13T00:00:00"/>
    <x v="3"/>
    <s v="June"/>
    <n v="6"/>
    <x v="1"/>
    <x v="0"/>
    <x v="1"/>
  </r>
  <r>
    <x v="59"/>
    <x v="12"/>
    <s v="Marketplace"/>
    <x v="1"/>
    <x v="23"/>
    <s v="Series B"/>
    <n v="50673000"/>
    <d v="2023-03-23T00:00:00"/>
    <x v="0"/>
    <s v="March"/>
    <n v="3"/>
    <x v="1"/>
    <x v="2"/>
    <x v="2"/>
  </r>
  <r>
    <x v="95"/>
    <x v="6"/>
    <s v="Cloud Kitchen"/>
    <x v="6"/>
    <x v="114"/>
    <s v="Pre-Series A"/>
    <n v="209000"/>
    <d v="2023-03-14T00:00:00"/>
    <x v="0"/>
    <s v="March"/>
    <n v="3"/>
    <x v="1"/>
    <x v="0"/>
    <x v="1"/>
  </r>
  <r>
    <x v="96"/>
    <x v="13"/>
    <s v="Grocery"/>
    <x v="8"/>
    <x v="84"/>
    <s v="Series A"/>
    <n v="1657000"/>
    <d v="2022-11-05T00:00:00"/>
    <x v="5"/>
    <s v="November"/>
    <n v="11"/>
    <x v="1"/>
    <x v="1"/>
    <x v="1"/>
  </r>
  <r>
    <x v="81"/>
    <x v="8"/>
    <s v="HRTech"/>
    <x v="1"/>
    <x v="57"/>
    <s v="Pre-Series A"/>
    <n v="110000"/>
    <d v="2020-05-18T00:00:00"/>
    <x v="4"/>
    <s v="May"/>
    <n v="5"/>
    <x v="1"/>
    <x v="0"/>
    <x v="3"/>
  </r>
  <r>
    <x v="14"/>
    <x v="5"/>
    <s v="Fashion"/>
    <x v="7"/>
    <x v="115"/>
    <s v="Seed"/>
    <n v="442000"/>
    <d v="2021-12-22T00:00:00"/>
    <x v="2"/>
    <s v="December"/>
    <n v="12"/>
    <x v="0"/>
    <x v="0"/>
    <x v="1"/>
  </r>
  <r>
    <x v="97"/>
    <x v="3"/>
    <s v="Smart Home"/>
    <x v="4"/>
    <x v="116"/>
    <s v="Series C"/>
    <n v="125287000"/>
    <d v="2020-05-09T00:00:00"/>
    <x v="4"/>
    <s v="May"/>
    <n v="5"/>
    <x v="2"/>
    <x v="3"/>
    <x v="3"/>
  </r>
  <r>
    <x v="81"/>
    <x v="7"/>
    <s v="WealthTech"/>
    <x v="2"/>
    <x v="117"/>
    <s v="Series A"/>
    <n v="1046000"/>
    <d v="2024-07-27T00:00:00"/>
    <x v="3"/>
    <s v="July"/>
    <n v="7"/>
    <x v="1"/>
    <x v="1"/>
    <x v="4"/>
  </r>
  <r>
    <x v="86"/>
    <x v="11"/>
    <s v="Analytics"/>
    <x v="7"/>
    <x v="39"/>
    <s v="Seed"/>
    <n v="331000"/>
    <d v="2024-06-25T00:00:00"/>
    <x v="3"/>
    <s v="June"/>
    <n v="6"/>
    <x v="0"/>
    <x v="0"/>
    <x v="3"/>
  </r>
  <r>
    <x v="57"/>
    <x v="6"/>
    <s v="Food Delivery"/>
    <x v="4"/>
    <x v="65"/>
    <s v="Series A"/>
    <n v="1847000"/>
    <d v="2022-10-15T00:00:00"/>
    <x v="5"/>
    <s v="October"/>
    <n v="10"/>
    <x v="1"/>
    <x v="1"/>
    <x v="1"/>
  </r>
  <r>
    <x v="98"/>
    <x v="1"/>
    <s v="Content"/>
    <x v="0"/>
    <x v="41"/>
    <s v="Series A"/>
    <n v="5738000"/>
    <d v="2024-08-11T00:00:00"/>
    <x v="3"/>
    <s v="August"/>
    <n v="8"/>
    <x v="1"/>
    <x v="1"/>
    <x v="1"/>
  </r>
  <r>
    <x v="99"/>
    <x v="8"/>
    <s v="HRTech"/>
    <x v="2"/>
    <x v="32"/>
    <s v="Series A"/>
    <n v="1604000"/>
    <d v="2024-01-09T00:00:00"/>
    <x v="3"/>
    <s v="January"/>
    <n v="1"/>
    <x v="1"/>
    <x v="1"/>
    <x v="3"/>
  </r>
  <r>
    <x v="100"/>
    <x v="11"/>
    <s v="Security"/>
    <x v="6"/>
    <x v="118"/>
    <s v="Debt"/>
    <n v="7325000"/>
    <d v="2021-07-16T00:00:00"/>
    <x v="2"/>
    <s v="July"/>
    <n v="7"/>
    <x v="2"/>
    <x v="1"/>
    <x v="3"/>
  </r>
  <r>
    <x v="58"/>
    <x v="5"/>
    <s v="Fashion"/>
    <x v="4"/>
    <x v="119"/>
    <s v="Bridge"/>
    <n v="208000"/>
    <d v="2020-10-19T00:00:00"/>
    <x v="4"/>
    <s v="October"/>
    <n v="10"/>
    <x v="1"/>
    <x v="0"/>
    <x v="1"/>
  </r>
  <r>
    <x v="101"/>
    <x v="5"/>
    <s v="Fashion"/>
    <x v="7"/>
    <x v="120"/>
    <s v="Pre-Series A"/>
    <n v="864000"/>
    <d v="2025-04-28T00:00:00"/>
    <x v="1"/>
    <s v="April"/>
    <n v="4"/>
    <x v="1"/>
    <x v="0"/>
    <x v="1"/>
  </r>
  <r>
    <x v="102"/>
    <x v="8"/>
    <s v="MarTech"/>
    <x v="0"/>
    <x v="86"/>
    <s v="Series A"/>
    <n v="1451000"/>
    <d v="2022-12-20T00:00:00"/>
    <x v="5"/>
    <s v="December"/>
    <n v="12"/>
    <x v="1"/>
    <x v="1"/>
    <x v="3"/>
  </r>
  <r>
    <x v="23"/>
    <x v="13"/>
    <s v="Quick Commerce"/>
    <x v="4"/>
    <x v="121"/>
    <s v="Series A"/>
    <n v="2518000"/>
    <d v="2022-03-03T00:00:00"/>
    <x v="5"/>
    <s v="March"/>
    <n v="3"/>
    <x v="1"/>
    <x v="1"/>
    <x v="1"/>
  </r>
  <r>
    <x v="76"/>
    <x v="12"/>
    <s v="Smart Farming"/>
    <x v="5"/>
    <x v="39"/>
    <s v="Seed"/>
    <n v="76000"/>
    <d v="2020-10-04T00:00:00"/>
    <x v="4"/>
    <s v="October"/>
    <n v="10"/>
    <x v="0"/>
    <x v="0"/>
    <x v="2"/>
  </r>
  <r>
    <x v="5"/>
    <x v="13"/>
    <s v="D2C"/>
    <x v="7"/>
    <x v="47"/>
    <s v="Series B"/>
    <n v="64925000"/>
    <d v="2023-01-31T00:00:00"/>
    <x v="0"/>
    <s v="January"/>
    <n v="1"/>
    <x v="1"/>
    <x v="2"/>
    <x v="1"/>
  </r>
  <r>
    <x v="13"/>
    <x v="1"/>
    <s v="Streaming"/>
    <x v="4"/>
    <x v="64"/>
    <s v="Series C"/>
    <n v="215209000"/>
    <d v="2022-11-07T00:00:00"/>
    <x v="5"/>
    <s v="November"/>
    <n v="11"/>
    <x v="2"/>
    <x v="3"/>
    <x v="1"/>
  </r>
  <r>
    <x v="103"/>
    <x v="0"/>
    <s v="Coding Bootcamp"/>
    <x v="1"/>
    <x v="61"/>
    <s v="Pre-Series A"/>
    <n v="181000"/>
    <d v="2023-03-18T00:00:00"/>
    <x v="0"/>
    <s v="March"/>
    <n v="3"/>
    <x v="1"/>
    <x v="0"/>
    <x v="0"/>
  </r>
  <r>
    <x v="68"/>
    <x v="13"/>
    <s v="Quick Commerce"/>
    <x v="2"/>
    <x v="122"/>
    <s v="Pre-Series A"/>
    <n v="457000"/>
    <d v="2024-01-08T00:00:00"/>
    <x v="3"/>
    <s v="January"/>
    <n v="1"/>
    <x v="1"/>
    <x v="0"/>
    <x v="1"/>
  </r>
  <r>
    <x v="1"/>
    <x v="10"/>
    <s v="Pharmacy"/>
    <x v="0"/>
    <x v="123"/>
    <s v="Series A"/>
    <n v="9144000"/>
    <d v="2023-10-24T00:00:00"/>
    <x v="0"/>
    <s v="October"/>
    <n v="10"/>
    <x v="1"/>
    <x v="1"/>
    <x v="0"/>
  </r>
  <r>
    <x v="80"/>
    <x v="10"/>
    <s v="Health Analytics"/>
    <x v="8"/>
    <x v="13"/>
    <s v="Angel"/>
    <n v="26000"/>
    <d v="2020-04-23T00:00:00"/>
    <x v="4"/>
    <s v="April"/>
    <n v="4"/>
    <x v="0"/>
    <x v="0"/>
    <x v="0"/>
  </r>
  <r>
    <x v="71"/>
    <x v="10"/>
    <s v="Diagnostics"/>
    <x v="7"/>
    <x v="65"/>
    <s v="Angel"/>
    <n v="24000"/>
    <d v="2021-04-06T00:00:00"/>
    <x v="2"/>
    <s v="April"/>
    <n v="4"/>
    <x v="0"/>
    <x v="0"/>
    <x v="0"/>
  </r>
  <r>
    <x v="49"/>
    <x v="9"/>
    <s v="Last Mile"/>
    <x v="8"/>
    <x v="79"/>
    <s v="Seed"/>
    <n v="122000"/>
    <d v="2023-07-04T00:00:00"/>
    <x v="0"/>
    <s v="July"/>
    <n v="7"/>
    <x v="0"/>
    <x v="0"/>
    <x v="2"/>
  </r>
  <r>
    <x v="30"/>
    <x v="2"/>
    <s v="Micro Mobility"/>
    <x v="4"/>
    <x v="7"/>
    <s v="Series A"/>
    <n v="1287000"/>
    <d v="2023-04-04T00:00:00"/>
    <x v="0"/>
    <s v="April"/>
    <n v="4"/>
    <x v="1"/>
    <x v="1"/>
    <x v="2"/>
  </r>
  <r>
    <x v="41"/>
    <x v="12"/>
    <s v="Supply Chain"/>
    <x v="1"/>
    <x v="124"/>
    <s v="Seed"/>
    <n v="1369000"/>
    <d v="2025-04-26T00:00:00"/>
    <x v="1"/>
    <s v="April"/>
    <n v="4"/>
    <x v="0"/>
    <x v="1"/>
    <x v="2"/>
  </r>
  <r>
    <x v="104"/>
    <x v="7"/>
    <s v="InsurTech"/>
    <x v="8"/>
    <x v="61"/>
    <s v="Seed"/>
    <n v="1385000"/>
    <d v="2025-05-13T00:00:00"/>
    <x v="1"/>
    <s v="May"/>
    <n v="5"/>
    <x v="0"/>
    <x v="1"/>
    <x v="4"/>
  </r>
  <r>
    <x v="58"/>
    <x v="13"/>
    <s v="Quick Commerce"/>
    <x v="4"/>
    <x v="125"/>
    <s v="Series A"/>
    <n v="5554000"/>
    <d v="2022-09-18T00:00:00"/>
    <x v="5"/>
    <s v="September"/>
    <n v="9"/>
    <x v="1"/>
    <x v="1"/>
    <x v="1"/>
  </r>
  <r>
    <x v="25"/>
    <x v="8"/>
    <s v="HRTech"/>
    <x v="9"/>
    <x v="126"/>
    <s v="Seed"/>
    <n v="175000"/>
    <d v="2022-01-28T00:00:00"/>
    <x v="5"/>
    <s v="January"/>
    <n v="1"/>
    <x v="0"/>
    <x v="0"/>
    <x v="3"/>
  </r>
  <r>
    <x v="54"/>
    <x v="13"/>
    <s v="D2C"/>
    <x v="5"/>
    <x v="47"/>
    <s v="Seed"/>
    <n v="181000"/>
    <d v="2020-07-17T00:00:00"/>
    <x v="4"/>
    <s v="July"/>
    <n v="7"/>
    <x v="0"/>
    <x v="0"/>
    <x v="1"/>
  </r>
  <r>
    <x v="35"/>
    <x v="6"/>
    <s v="Cloud Kitchen"/>
    <x v="4"/>
    <x v="127"/>
    <s v="Series C"/>
    <n v="142830000"/>
    <d v="2025-03-27T00:00:00"/>
    <x v="1"/>
    <s v="March"/>
    <n v="3"/>
    <x v="2"/>
    <x v="3"/>
    <x v="1"/>
  </r>
  <r>
    <x v="13"/>
    <x v="2"/>
    <s v="EV"/>
    <x v="5"/>
    <x v="17"/>
    <s v="Growth"/>
    <n v="533548000"/>
    <d v="2022-10-15T00:00:00"/>
    <x v="5"/>
    <s v="October"/>
    <n v="10"/>
    <x v="2"/>
    <x v="3"/>
    <x v="2"/>
  </r>
  <r>
    <x v="105"/>
    <x v="0"/>
    <s v="K12"/>
    <x v="6"/>
    <x v="61"/>
    <s v="Pre-Series A"/>
    <n v="771000"/>
    <d v="2020-04-13T00:00:00"/>
    <x v="4"/>
    <s v="April"/>
    <n v="4"/>
    <x v="1"/>
    <x v="0"/>
    <x v="0"/>
  </r>
  <r>
    <x v="106"/>
    <x v="7"/>
    <s v="Payments"/>
    <x v="9"/>
    <x v="128"/>
    <s v="Seed"/>
    <n v="888000"/>
    <d v="2021-06-25T00:00:00"/>
    <x v="2"/>
    <s v="June"/>
    <n v="6"/>
    <x v="0"/>
    <x v="0"/>
    <x v="4"/>
  </r>
  <r>
    <x v="3"/>
    <x v="12"/>
    <s v="Marketplace"/>
    <x v="3"/>
    <x v="86"/>
    <s v="Pre-Series A"/>
    <n v="439000"/>
    <d v="2021-08-14T00:00:00"/>
    <x v="2"/>
    <s v="August"/>
    <n v="8"/>
    <x v="1"/>
    <x v="0"/>
    <x v="2"/>
  </r>
  <r>
    <x v="102"/>
    <x v="9"/>
    <s v="Fleet Management"/>
    <x v="6"/>
    <x v="86"/>
    <s v="Seed"/>
    <n v="68000"/>
    <d v="2025-06-19T00:00:00"/>
    <x v="1"/>
    <s v="June"/>
    <n v="6"/>
    <x v="0"/>
    <x v="0"/>
    <x v="2"/>
  </r>
  <r>
    <x v="41"/>
    <x v="8"/>
    <s v="DevTools"/>
    <x v="3"/>
    <x v="19"/>
    <s v="Series A"/>
    <n v="1549000"/>
    <d v="2022-04-02T00:00:00"/>
    <x v="5"/>
    <s v="April"/>
    <n v="4"/>
    <x v="1"/>
    <x v="1"/>
    <x v="3"/>
  </r>
  <r>
    <x v="107"/>
    <x v="2"/>
    <s v="EV"/>
    <x v="4"/>
    <x v="103"/>
    <s v="Series A"/>
    <n v="11397000"/>
    <d v="2022-11-21T00:00:00"/>
    <x v="5"/>
    <s v="November"/>
    <n v="11"/>
    <x v="1"/>
    <x v="2"/>
    <x v="2"/>
  </r>
  <r>
    <x v="108"/>
    <x v="12"/>
    <s v="Marketplace"/>
    <x v="2"/>
    <x v="129"/>
    <s v="Series A"/>
    <n v="5167000"/>
    <d v="2022-11-04T00:00:00"/>
    <x v="5"/>
    <s v="November"/>
    <n v="11"/>
    <x v="1"/>
    <x v="1"/>
    <x v="2"/>
  </r>
  <r>
    <x v="64"/>
    <x v="3"/>
    <s v="Audio"/>
    <x v="7"/>
    <x v="130"/>
    <s v="Seed"/>
    <n v="52000"/>
    <d v="2020-08-12T00:00:00"/>
    <x v="4"/>
    <s v="August"/>
    <n v="8"/>
    <x v="0"/>
    <x v="0"/>
    <x v="3"/>
  </r>
  <r>
    <x v="79"/>
    <x v="9"/>
    <s v="Fleet Management"/>
    <x v="6"/>
    <x v="79"/>
    <s v="Series A"/>
    <n v="1316000"/>
    <d v="2024-01-17T00:00:00"/>
    <x v="3"/>
    <s v="January"/>
    <n v="1"/>
    <x v="1"/>
    <x v="1"/>
    <x v="2"/>
  </r>
  <r>
    <x v="83"/>
    <x v="2"/>
    <s v="Micro Mobility"/>
    <x v="6"/>
    <x v="69"/>
    <s v="Series C"/>
    <n v="120606000"/>
    <d v="2022-02-17T00:00:00"/>
    <x v="5"/>
    <s v="February"/>
    <n v="2"/>
    <x v="2"/>
    <x v="3"/>
    <x v="2"/>
  </r>
  <r>
    <x v="109"/>
    <x v="1"/>
    <s v="Social"/>
    <x v="3"/>
    <x v="131"/>
    <s v="Pre-Seed"/>
    <n v="20000"/>
    <d v="2021-10-04T00:00:00"/>
    <x v="2"/>
    <s v="October"/>
    <n v="10"/>
    <x v="0"/>
    <x v="0"/>
    <x v="1"/>
  </r>
  <r>
    <x v="110"/>
    <x v="2"/>
    <s v="Micro Mobility"/>
    <x v="5"/>
    <x v="132"/>
    <s v="Growth"/>
    <n v="76432000"/>
    <d v="2024-02-15T00:00:00"/>
    <x v="3"/>
    <s v="February"/>
    <n v="2"/>
    <x v="2"/>
    <x v="2"/>
    <x v="2"/>
  </r>
  <r>
    <x v="70"/>
    <x v="3"/>
    <s v="Smart Home"/>
    <x v="9"/>
    <x v="133"/>
    <s v="Seed"/>
    <n v="379000"/>
    <d v="2020-12-20T00:00:00"/>
    <x v="4"/>
    <s v="December"/>
    <n v="12"/>
    <x v="0"/>
    <x v="0"/>
    <x v="3"/>
  </r>
  <r>
    <x v="37"/>
    <x v="11"/>
    <s v="Automation"/>
    <x v="2"/>
    <x v="47"/>
    <s v="Series A"/>
    <n v="6512000"/>
    <d v="2021-01-28T00:00:00"/>
    <x v="2"/>
    <s v="January"/>
    <n v="1"/>
    <x v="1"/>
    <x v="1"/>
    <x v="3"/>
  </r>
  <r>
    <x v="64"/>
    <x v="0"/>
    <s v="UpSkilling"/>
    <x v="2"/>
    <x v="101"/>
    <s v="Series B"/>
    <n v="30480000"/>
    <d v="2023-11-14T00:00:00"/>
    <x v="0"/>
    <s v="November"/>
    <n v="11"/>
    <x v="1"/>
    <x v="2"/>
    <x v="0"/>
  </r>
  <r>
    <x v="47"/>
    <x v="12"/>
    <s v="Marketplace"/>
    <x v="8"/>
    <x v="134"/>
    <s v="Pre-Series A"/>
    <n v="168000"/>
    <d v="2025-06-30T00:00:00"/>
    <x v="1"/>
    <s v="June"/>
    <n v="6"/>
    <x v="1"/>
    <x v="0"/>
    <x v="2"/>
  </r>
  <r>
    <x v="65"/>
    <x v="9"/>
    <s v="Fleet Management"/>
    <x v="0"/>
    <x v="135"/>
    <s v="Seed"/>
    <n v="692000"/>
    <d v="2022-06-24T00:00:00"/>
    <x v="5"/>
    <s v="June"/>
    <n v="6"/>
    <x v="0"/>
    <x v="0"/>
    <x v="2"/>
  </r>
  <r>
    <x v="38"/>
    <x v="1"/>
    <s v="Content"/>
    <x v="4"/>
    <x v="136"/>
    <s v="Seed"/>
    <n v="120000"/>
    <d v="2024-02-26T00:00:00"/>
    <x v="3"/>
    <s v="February"/>
    <n v="2"/>
    <x v="0"/>
    <x v="0"/>
    <x v="1"/>
  </r>
  <r>
    <x v="111"/>
    <x v="4"/>
    <s v="PropTech"/>
    <x v="1"/>
    <x v="137"/>
    <s v="Seed"/>
    <n v="166000"/>
    <d v="2021-11-07T00:00:00"/>
    <x v="2"/>
    <s v="November"/>
    <n v="11"/>
    <x v="0"/>
    <x v="0"/>
    <x v="2"/>
  </r>
  <r>
    <x v="13"/>
    <x v="3"/>
    <s v="Wearables"/>
    <x v="3"/>
    <x v="47"/>
    <s v="Series C"/>
    <n v="150998000"/>
    <d v="2021-08-11T00:00:00"/>
    <x v="2"/>
    <s v="August"/>
    <n v="8"/>
    <x v="2"/>
    <x v="3"/>
    <x v="3"/>
  </r>
  <r>
    <x v="112"/>
    <x v="13"/>
    <s v="Grocery"/>
    <x v="3"/>
    <x v="138"/>
    <s v="Series A"/>
    <n v="5808000"/>
    <d v="2024-01-20T00:00:00"/>
    <x v="3"/>
    <s v="January"/>
    <n v="1"/>
    <x v="1"/>
    <x v="1"/>
    <x v="1"/>
  </r>
  <r>
    <x v="113"/>
    <x v="6"/>
    <s v="Cloud Kitchen"/>
    <x v="1"/>
    <x v="139"/>
    <s v="Debt"/>
    <n v="19590000"/>
    <d v="2022-03-24T00:00:00"/>
    <x v="5"/>
    <s v="March"/>
    <n v="3"/>
    <x v="2"/>
    <x v="2"/>
    <x v="1"/>
  </r>
  <r>
    <x v="95"/>
    <x v="7"/>
    <s v="Payments"/>
    <x v="2"/>
    <x v="47"/>
    <s v="Series A"/>
    <n v="5935000"/>
    <d v="2020-08-07T00:00:00"/>
    <x v="4"/>
    <s v="August"/>
    <n v="8"/>
    <x v="1"/>
    <x v="1"/>
    <x v="4"/>
  </r>
  <r>
    <x v="32"/>
    <x v="10"/>
    <s v="Health Analytics"/>
    <x v="2"/>
    <x v="7"/>
    <s v="Seed"/>
    <n v="407000"/>
    <d v="2020-08-18T00:00:00"/>
    <x v="4"/>
    <s v="August"/>
    <n v="8"/>
    <x v="0"/>
    <x v="0"/>
    <x v="0"/>
  </r>
  <r>
    <x v="114"/>
    <x v="1"/>
    <s v="Social"/>
    <x v="1"/>
    <x v="41"/>
    <s v="Series B"/>
    <n v="6483000"/>
    <d v="2024-06-07T00:00:00"/>
    <x v="3"/>
    <s v="June"/>
    <n v="6"/>
    <x v="1"/>
    <x v="1"/>
    <x v="1"/>
  </r>
  <r>
    <x v="28"/>
    <x v="11"/>
    <s v="Automation"/>
    <x v="9"/>
    <x v="17"/>
    <s v="Series C"/>
    <n v="54137000"/>
    <d v="2022-11-21T00:00:00"/>
    <x v="5"/>
    <s v="November"/>
    <n v="11"/>
    <x v="2"/>
    <x v="2"/>
    <x v="3"/>
  </r>
  <r>
    <x v="67"/>
    <x v="10"/>
    <s v="Diagnostics"/>
    <x v="5"/>
    <x v="57"/>
    <s v="Seed"/>
    <n v="133000"/>
    <d v="2021-05-23T00:00:00"/>
    <x v="2"/>
    <s v="May"/>
    <n v="5"/>
    <x v="0"/>
    <x v="0"/>
    <x v="0"/>
  </r>
  <r>
    <x v="6"/>
    <x v="9"/>
    <s v="Supply Chain"/>
    <x v="2"/>
    <x v="57"/>
    <s v="Series A"/>
    <n v="1936000"/>
    <d v="2023-03-19T00:00:00"/>
    <x v="0"/>
    <s v="March"/>
    <n v="3"/>
    <x v="1"/>
    <x v="1"/>
    <x v="2"/>
  </r>
  <r>
    <x v="96"/>
    <x v="1"/>
    <s v="Social"/>
    <x v="1"/>
    <x v="7"/>
    <s v="Series B"/>
    <n v="74232000"/>
    <d v="2022-08-11T00:00:00"/>
    <x v="5"/>
    <s v="August"/>
    <n v="8"/>
    <x v="1"/>
    <x v="2"/>
    <x v="1"/>
  </r>
  <r>
    <x v="69"/>
    <x v="1"/>
    <s v="Content"/>
    <x v="0"/>
    <x v="14"/>
    <s v="Series B"/>
    <n v="14870000"/>
    <d v="2025-04-10T00:00:00"/>
    <x v="1"/>
    <s v="April"/>
    <n v="4"/>
    <x v="1"/>
    <x v="2"/>
    <x v="1"/>
  </r>
  <r>
    <x v="84"/>
    <x v="10"/>
    <s v="Health Analytics"/>
    <x v="4"/>
    <x v="86"/>
    <s v="Series A"/>
    <n v="11198000"/>
    <d v="2023-05-25T00:00:00"/>
    <x v="0"/>
    <s v="May"/>
    <n v="5"/>
    <x v="1"/>
    <x v="2"/>
    <x v="0"/>
  </r>
  <r>
    <x v="106"/>
    <x v="5"/>
    <s v="Fashion"/>
    <x v="3"/>
    <x v="140"/>
    <s v="Series C"/>
    <n v="110486000"/>
    <d v="2023-10-25T00:00:00"/>
    <x v="0"/>
    <s v="October"/>
    <n v="10"/>
    <x v="2"/>
    <x v="3"/>
    <x v="1"/>
  </r>
  <r>
    <x v="76"/>
    <x v="8"/>
    <s v="B2B SaaS"/>
    <x v="6"/>
    <x v="141"/>
    <s v="Seed"/>
    <n v="938000"/>
    <d v="2024-08-24T00:00:00"/>
    <x v="3"/>
    <s v="August"/>
    <n v="8"/>
    <x v="0"/>
    <x v="0"/>
    <x v="3"/>
  </r>
  <r>
    <x v="18"/>
    <x v="11"/>
    <s v="Automation"/>
    <x v="5"/>
    <x v="142"/>
    <s v="Seed"/>
    <n v="319000"/>
    <d v="2021-02-24T00:00:00"/>
    <x v="2"/>
    <s v="February"/>
    <n v="2"/>
    <x v="0"/>
    <x v="0"/>
    <x v="3"/>
  </r>
  <r>
    <x v="115"/>
    <x v="2"/>
    <s v="EV"/>
    <x v="5"/>
    <x v="46"/>
    <s v="Series A"/>
    <n v="4770000"/>
    <d v="2023-02-18T00:00:00"/>
    <x v="0"/>
    <s v="February"/>
    <n v="2"/>
    <x v="1"/>
    <x v="1"/>
    <x v="2"/>
  </r>
  <r>
    <x v="56"/>
    <x v="11"/>
    <s v="Analytics"/>
    <x v="3"/>
    <x v="143"/>
    <s v="Series A"/>
    <n v="3795000"/>
    <d v="2020-04-02T00:00:00"/>
    <x v="4"/>
    <s v="April"/>
    <n v="4"/>
    <x v="1"/>
    <x v="1"/>
    <x v="3"/>
  </r>
  <r>
    <x v="112"/>
    <x v="13"/>
    <s v="Fashion"/>
    <x v="1"/>
    <x v="98"/>
    <s v="Seed"/>
    <n v="103000"/>
    <d v="2021-01-03T00:00:00"/>
    <x v="2"/>
    <s v="January"/>
    <n v="1"/>
    <x v="0"/>
    <x v="0"/>
    <x v="1"/>
  </r>
  <r>
    <x v="36"/>
    <x v="6"/>
    <s v="Food Delivery"/>
    <x v="9"/>
    <x v="144"/>
    <s v="Pre-Series A"/>
    <n v="528000"/>
    <d v="2023-10-30T00:00:00"/>
    <x v="0"/>
    <s v="October"/>
    <n v="10"/>
    <x v="1"/>
    <x v="0"/>
    <x v="1"/>
  </r>
  <r>
    <x v="0"/>
    <x v="10"/>
    <s v="Health Analytics"/>
    <x v="8"/>
    <x v="69"/>
    <s v="Seed"/>
    <n v="141000"/>
    <d v="2025-06-27T00:00:00"/>
    <x v="1"/>
    <s v="June"/>
    <n v="6"/>
    <x v="0"/>
    <x v="0"/>
    <x v="0"/>
  </r>
  <r>
    <x v="56"/>
    <x v="3"/>
    <s v="Smart Home"/>
    <x v="8"/>
    <x v="57"/>
    <s v="Pre-Series A"/>
    <n v="106000"/>
    <d v="2022-02-15T00:00:00"/>
    <x v="5"/>
    <s v="February"/>
    <n v="2"/>
    <x v="1"/>
    <x v="0"/>
    <x v="3"/>
  </r>
  <r>
    <x v="116"/>
    <x v="0"/>
    <s v="Test Prep"/>
    <x v="1"/>
    <x v="145"/>
    <s v="Series C"/>
    <n v="114859000"/>
    <d v="2022-05-08T00:00:00"/>
    <x v="5"/>
    <s v="May"/>
    <n v="5"/>
    <x v="2"/>
    <x v="3"/>
    <x v="0"/>
  </r>
  <r>
    <x v="75"/>
    <x v="0"/>
    <s v="K12"/>
    <x v="0"/>
    <x v="146"/>
    <s v="Seed"/>
    <n v="96000"/>
    <d v="2020-03-09T00:00:00"/>
    <x v="4"/>
    <s v="March"/>
    <n v="3"/>
    <x v="0"/>
    <x v="0"/>
    <x v="0"/>
  </r>
  <r>
    <x v="117"/>
    <x v="0"/>
    <s v="Test Prep"/>
    <x v="9"/>
    <x v="98"/>
    <s v="Series A"/>
    <n v="12766000"/>
    <d v="2023-01-10T00:00:00"/>
    <x v="0"/>
    <s v="January"/>
    <n v="1"/>
    <x v="1"/>
    <x v="2"/>
    <x v="0"/>
  </r>
  <r>
    <x v="115"/>
    <x v="9"/>
    <s v="Last Mile"/>
    <x v="6"/>
    <x v="21"/>
    <s v="Seed"/>
    <n v="1687000"/>
    <d v="2023-05-09T00:00:00"/>
    <x v="0"/>
    <s v="May"/>
    <n v="5"/>
    <x v="0"/>
    <x v="1"/>
    <x v="2"/>
  </r>
  <r>
    <x v="84"/>
    <x v="9"/>
    <s v="Last Mile"/>
    <x v="8"/>
    <x v="147"/>
    <s v="Bridge"/>
    <n v="1461000"/>
    <d v="2024-12-06T00:00:00"/>
    <x v="3"/>
    <s v="December"/>
    <n v="12"/>
    <x v="1"/>
    <x v="1"/>
    <x v="2"/>
  </r>
  <r>
    <x v="118"/>
    <x v="8"/>
    <s v="MarTech"/>
    <x v="8"/>
    <x v="148"/>
    <s v="Seed"/>
    <n v="196000"/>
    <d v="2022-05-02T00:00:00"/>
    <x v="5"/>
    <s v="May"/>
    <n v="5"/>
    <x v="0"/>
    <x v="0"/>
    <x v="3"/>
  </r>
  <r>
    <x v="2"/>
    <x v="0"/>
    <s v="UpSkilling"/>
    <x v="4"/>
    <x v="41"/>
    <s v="Series C"/>
    <n v="20855000"/>
    <d v="2025-02-16T00:00:00"/>
    <x v="1"/>
    <s v="February"/>
    <n v="2"/>
    <x v="2"/>
    <x v="2"/>
    <x v="0"/>
  </r>
  <r>
    <x v="104"/>
    <x v="10"/>
    <s v="Health Analytics"/>
    <x v="3"/>
    <x v="149"/>
    <s v="Seed"/>
    <n v="1535000"/>
    <d v="2021-11-07T00:00:00"/>
    <x v="2"/>
    <s v="November"/>
    <n v="11"/>
    <x v="0"/>
    <x v="1"/>
    <x v="0"/>
  </r>
  <r>
    <x v="119"/>
    <x v="6"/>
    <s v="Grocery"/>
    <x v="6"/>
    <x v="7"/>
    <s v="Series A"/>
    <n v="3188000"/>
    <d v="2024-11-24T00:00:00"/>
    <x v="3"/>
    <s v="November"/>
    <n v="11"/>
    <x v="1"/>
    <x v="1"/>
    <x v="1"/>
  </r>
  <r>
    <x v="77"/>
    <x v="11"/>
    <s v="Security"/>
    <x v="2"/>
    <x v="65"/>
    <s v="Bridge"/>
    <n v="1769000"/>
    <d v="2020-02-01T00:00:00"/>
    <x v="4"/>
    <s v="February"/>
    <n v="2"/>
    <x v="1"/>
    <x v="1"/>
    <x v="3"/>
  </r>
  <r>
    <x v="0"/>
    <x v="1"/>
    <s v="Content"/>
    <x v="3"/>
    <x v="86"/>
    <s v="Series B"/>
    <n v="72324000"/>
    <d v="2023-12-12T00:00:00"/>
    <x v="0"/>
    <s v="December"/>
    <n v="12"/>
    <x v="1"/>
    <x v="2"/>
    <x v="1"/>
  </r>
  <r>
    <x v="43"/>
    <x v="5"/>
    <s v="Grocery"/>
    <x v="9"/>
    <x v="103"/>
    <s v="Series A"/>
    <n v="10074000"/>
    <d v="2023-08-21T00:00:00"/>
    <x v="0"/>
    <s v="August"/>
    <n v="8"/>
    <x v="1"/>
    <x v="2"/>
    <x v="1"/>
  </r>
  <r>
    <x v="96"/>
    <x v="2"/>
    <s v="EV"/>
    <x v="5"/>
    <x v="150"/>
    <s v="Seed"/>
    <n v="148000"/>
    <d v="2024-01-19T00:00:00"/>
    <x v="3"/>
    <s v="January"/>
    <n v="1"/>
    <x v="0"/>
    <x v="0"/>
    <x v="2"/>
  </r>
  <r>
    <x v="11"/>
    <x v="6"/>
    <s v="Cloud Kitchen"/>
    <x v="6"/>
    <x v="29"/>
    <s v="Growth"/>
    <n v="138147000"/>
    <d v="2024-02-27T00:00:00"/>
    <x v="3"/>
    <s v="February"/>
    <n v="2"/>
    <x v="2"/>
    <x v="3"/>
    <x v="1"/>
  </r>
  <r>
    <x v="104"/>
    <x v="0"/>
    <s v="UpSkilling"/>
    <x v="3"/>
    <x v="61"/>
    <s v="Pre-Series A"/>
    <n v="710000"/>
    <d v="2024-09-02T00:00:00"/>
    <x v="3"/>
    <s v="September"/>
    <n v="9"/>
    <x v="1"/>
    <x v="0"/>
    <x v="0"/>
  </r>
  <r>
    <x v="41"/>
    <x v="11"/>
    <s v="Security"/>
    <x v="5"/>
    <x v="7"/>
    <s v="Series A"/>
    <n v="2359000"/>
    <d v="2024-02-09T00:00:00"/>
    <x v="3"/>
    <s v="February"/>
    <n v="2"/>
    <x v="1"/>
    <x v="1"/>
    <x v="3"/>
  </r>
  <r>
    <x v="72"/>
    <x v="2"/>
    <s v="Micro Mobility"/>
    <x v="1"/>
    <x v="65"/>
    <s v="Series A"/>
    <n v="1582000"/>
    <d v="2024-09-14T00:00:00"/>
    <x v="3"/>
    <s v="September"/>
    <n v="9"/>
    <x v="1"/>
    <x v="1"/>
    <x v="2"/>
  </r>
  <r>
    <x v="117"/>
    <x v="5"/>
    <s v="E-Retail"/>
    <x v="9"/>
    <x v="19"/>
    <s v="Seed"/>
    <n v="390000"/>
    <d v="2023-07-15T00:00:00"/>
    <x v="0"/>
    <s v="July"/>
    <n v="7"/>
    <x v="0"/>
    <x v="0"/>
    <x v="1"/>
  </r>
  <r>
    <x v="120"/>
    <x v="2"/>
    <s v="EV"/>
    <x v="7"/>
    <x v="151"/>
    <s v="Seed"/>
    <n v="1580000"/>
    <d v="2023-07-30T00:00:00"/>
    <x v="0"/>
    <s v="July"/>
    <n v="7"/>
    <x v="0"/>
    <x v="1"/>
    <x v="2"/>
  </r>
  <r>
    <x v="75"/>
    <x v="7"/>
    <s v="NeoBank"/>
    <x v="8"/>
    <x v="129"/>
    <s v="Pre-Series A"/>
    <n v="497000"/>
    <d v="2020-02-04T00:00:00"/>
    <x v="4"/>
    <s v="February"/>
    <n v="2"/>
    <x v="1"/>
    <x v="0"/>
    <x v="4"/>
  </r>
  <r>
    <x v="121"/>
    <x v="11"/>
    <s v="Automation"/>
    <x v="9"/>
    <x v="17"/>
    <s v="Series C"/>
    <n v="93643000"/>
    <d v="2025-02-06T00:00:00"/>
    <x v="1"/>
    <s v="February"/>
    <n v="2"/>
    <x v="2"/>
    <x v="2"/>
    <x v="3"/>
  </r>
  <r>
    <x v="67"/>
    <x v="2"/>
    <s v="Ride Sharing"/>
    <x v="3"/>
    <x v="69"/>
    <s v="Seed"/>
    <n v="72000"/>
    <d v="2022-12-14T00:00:00"/>
    <x v="5"/>
    <s v="December"/>
    <n v="12"/>
    <x v="0"/>
    <x v="0"/>
    <x v="2"/>
  </r>
  <r>
    <x v="98"/>
    <x v="13"/>
    <s v="D2C"/>
    <x v="9"/>
    <x v="152"/>
    <s v="Series A"/>
    <n v="5288000"/>
    <d v="2021-05-13T00:00:00"/>
    <x v="2"/>
    <s v="May"/>
    <n v="5"/>
    <x v="1"/>
    <x v="1"/>
    <x v="1"/>
  </r>
  <r>
    <x v="122"/>
    <x v="6"/>
    <s v="Food Delivery"/>
    <x v="8"/>
    <x v="23"/>
    <s v="Series A"/>
    <n v="14601000"/>
    <d v="2023-07-28T00:00:00"/>
    <x v="0"/>
    <s v="July"/>
    <n v="7"/>
    <x v="1"/>
    <x v="2"/>
    <x v="1"/>
  </r>
  <r>
    <x v="123"/>
    <x v="6"/>
    <s v="Grocery"/>
    <x v="7"/>
    <x v="138"/>
    <s v="Series A"/>
    <n v="1461000"/>
    <d v="2024-10-23T00:00:00"/>
    <x v="3"/>
    <s v="October"/>
    <n v="10"/>
    <x v="1"/>
    <x v="1"/>
    <x v="1"/>
  </r>
  <r>
    <x v="55"/>
    <x v="0"/>
    <s v="K12"/>
    <x v="6"/>
    <x v="110"/>
    <s v="Series A"/>
    <n v="4070000"/>
    <d v="2020-04-05T00:00:00"/>
    <x v="4"/>
    <s v="April"/>
    <n v="4"/>
    <x v="1"/>
    <x v="1"/>
    <x v="0"/>
  </r>
  <r>
    <x v="23"/>
    <x v="12"/>
    <s v="Marketplace"/>
    <x v="1"/>
    <x v="29"/>
    <s v="Seed"/>
    <n v="1272000"/>
    <d v="2024-10-07T00:00:00"/>
    <x v="3"/>
    <s v="October"/>
    <n v="10"/>
    <x v="0"/>
    <x v="1"/>
    <x v="2"/>
  </r>
  <r>
    <x v="15"/>
    <x v="5"/>
    <s v="Fashion"/>
    <x v="9"/>
    <x v="41"/>
    <s v="Angel"/>
    <n v="46000"/>
    <d v="2021-09-04T00:00:00"/>
    <x v="2"/>
    <s v="September"/>
    <n v="9"/>
    <x v="0"/>
    <x v="0"/>
    <x v="1"/>
  </r>
  <r>
    <x v="124"/>
    <x v="2"/>
    <s v="EV"/>
    <x v="9"/>
    <x v="153"/>
    <s v="Series C"/>
    <n v="132064000"/>
    <d v="2020-10-13T00:00:00"/>
    <x v="4"/>
    <s v="October"/>
    <n v="10"/>
    <x v="2"/>
    <x v="3"/>
    <x v="2"/>
  </r>
  <r>
    <x v="3"/>
    <x v="13"/>
    <s v="Fashion"/>
    <x v="3"/>
    <x v="154"/>
    <s v="Series D"/>
    <n v="252031000"/>
    <d v="2021-11-28T00:00:00"/>
    <x v="2"/>
    <s v="November"/>
    <n v="11"/>
    <x v="2"/>
    <x v="3"/>
    <x v="1"/>
  </r>
  <r>
    <x v="66"/>
    <x v="8"/>
    <s v="B2B SaaS"/>
    <x v="2"/>
    <x v="155"/>
    <s v="Series C"/>
    <n v="52945000"/>
    <d v="2022-07-11T00:00:00"/>
    <x v="5"/>
    <s v="July"/>
    <n v="7"/>
    <x v="2"/>
    <x v="2"/>
    <x v="3"/>
  </r>
  <r>
    <x v="45"/>
    <x v="4"/>
    <s v="Rental Tech"/>
    <x v="9"/>
    <x v="4"/>
    <s v="Seed"/>
    <n v="148000"/>
    <d v="2023-06-20T00:00:00"/>
    <x v="0"/>
    <s v="June"/>
    <n v="6"/>
    <x v="0"/>
    <x v="0"/>
    <x v="2"/>
  </r>
  <r>
    <x v="1"/>
    <x v="13"/>
    <s v="D2C"/>
    <x v="4"/>
    <x v="156"/>
    <s v="Pre-Series A"/>
    <n v="645000"/>
    <d v="2024-05-24T00:00:00"/>
    <x v="3"/>
    <s v="May"/>
    <n v="5"/>
    <x v="1"/>
    <x v="0"/>
    <x v="1"/>
  </r>
  <r>
    <x v="30"/>
    <x v="7"/>
    <s v="WealthTech"/>
    <x v="5"/>
    <x v="64"/>
    <s v="Pre-Series A"/>
    <n v="646000"/>
    <d v="2021-07-06T00:00:00"/>
    <x v="2"/>
    <s v="July"/>
    <n v="7"/>
    <x v="1"/>
    <x v="0"/>
    <x v="4"/>
  </r>
  <r>
    <x v="125"/>
    <x v="2"/>
    <s v="Micro Mobility"/>
    <x v="8"/>
    <x v="14"/>
    <s v="Pre-Series A"/>
    <n v="736000"/>
    <d v="2020-02-23T00:00:00"/>
    <x v="4"/>
    <s v="February"/>
    <n v="2"/>
    <x v="1"/>
    <x v="0"/>
    <x v="2"/>
  </r>
  <r>
    <x v="30"/>
    <x v="12"/>
    <s v="Marketplace"/>
    <x v="7"/>
    <x v="86"/>
    <s v="Growth"/>
    <n v="556750000"/>
    <d v="2020-01-26T00:00:00"/>
    <x v="4"/>
    <s v="January"/>
    <n v="1"/>
    <x v="2"/>
    <x v="3"/>
    <x v="2"/>
  </r>
  <r>
    <x v="123"/>
    <x v="2"/>
    <s v="Ride Sharing"/>
    <x v="6"/>
    <x v="157"/>
    <s v="Series A"/>
    <n v="3994000"/>
    <d v="2023-11-04T00:00:00"/>
    <x v="0"/>
    <s v="November"/>
    <n v="11"/>
    <x v="1"/>
    <x v="1"/>
    <x v="2"/>
  </r>
  <r>
    <x v="98"/>
    <x v="13"/>
    <s v="Marketplace"/>
    <x v="9"/>
    <x v="158"/>
    <s v="Seed"/>
    <n v="318000"/>
    <d v="2021-09-05T00:00:00"/>
    <x v="2"/>
    <s v="September"/>
    <n v="9"/>
    <x v="0"/>
    <x v="0"/>
    <x v="1"/>
  </r>
  <r>
    <x v="10"/>
    <x v="3"/>
    <s v="Smart Home"/>
    <x v="6"/>
    <x v="47"/>
    <s v="Seed"/>
    <n v="950000"/>
    <d v="2020-08-07T00:00:00"/>
    <x v="4"/>
    <s v="August"/>
    <n v="8"/>
    <x v="0"/>
    <x v="0"/>
    <x v="3"/>
  </r>
  <r>
    <x v="66"/>
    <x v="12"/>
    <s v="Smart Farming"/>
    <x v="7"/>
    <x v="159"/>
    <s v="Series A"/>
    <n v="5813000"/>
    <d v="2022-05-31T00:00:00"/>
    <x v="5"/>
    <s v="May"/>
    <n v="5"/>
    <x v="1"/>
    <x v="1"/>
    <x v="2"/>
  </r>
  <r>
    <x v="103"/>
    <x v="10"/>
    <s v="Health Analytics"/>
    <x v="7"/>
    <x v="160"/>
    <s v="Seed"/>
    <n v="666000"/>
    <d v="2023-11-24T00:00:00"/>
    <x v="0"/>
    <s v="November"/>
    <n v="11"/>
    <x v="0"/>
    <x v="0"/>
    <x v="0"/>
  </r>
  <r>
    <x v="45"/>
    <x v="5"/>
    <s v="Grocery"/>
    <x v="7"/>
    <x v="79"/>
    <s v="Seed"/>
    <n v="942000"/>
    <d v="2023-02-28T00:00:00"/>
    <x v="0"/>
    <s v="February"/>
    <n v="2"/>
    <x v="0"/>
    <x v="0"/>
    <x v="1"/>
  </r>
  <r>
    <x v="80"/>
    <x v="2"/>
    <s v="Ride Sharing"/>
    <x v="5"/>
    <x v="161"/>
    <s v="Bridge"/>
    <n v="1333000"/>
    <d v="2021-03-05T00:00:00"/>
    <x v="2"/>
    <s v="March"/>
    <n v="3"/>
    <x v="1"/>
    <x v="1"/>
    <x v="2"/>
  </r>
  <r>
    <x v="63"/>
    <x v="11"/>
    <s v="Security"/>
    <x v="5"/>
    <x v="57"/>
    <s v="Seed"/>
    <n v="174000"/>
    <d v="2021-09-12T00:00:00"/>
    <x v="2"/>
    <s v="September"/>
    <n v="9"/>
    <x v="0"/>
    <x v="0"/>
    <x v="3"/>
  </r>
  <r>
    <x v="8"/>
    <x v="5"/>
    <s v="Grocery"/>
    <x v="0"/>
    <x v="162"/>
    <s v="Series A"/>
    <n v="2765000"/>
    <d v="2023-05-09T00:00:00"/>
    <x v="0"/>
    <s v="May"/>
    <n v="5"/>
    <x v="1"/>
    <x v="1"/>
    <x v="1"/>
  </r>
  <r>
    <x v="36"/>
    <x v="5"/>
    <s v="Grocery"/>
    <x v="8"/>
    <x v="17"/>
    <s v="Series A"/>
    <n v="1290000"/>
    <d v="2025-02-15T00:00:00"/>
    <x v="1"/>
    <s v="February"/>
    <n v="2"/>
    <x v="1"/>
    <x v="1"/>
    <x v="1"/>
  </r>
  <r>
    <x v="10"/>
    <x v="8"/>
    <s v="DevTools"/>
    <x v="6"/>
    <x v="163"/>
    <s v="Pre-Seed"/>
    <n v="76000"/>
    <d v="2023-08-14T00:00:00"/>
    <x v="0"/>
    <s v="August"/>
    <n v="8"/>
    <x v="0"/>
    <x v="0"/>
    <x v="3"/>
  </r>
  <r>
    <x v="126"/>
    <x v="13"/>
    <s v="Quick Commerce"/>
    <x v="0"/>
    <x v="164"/>
    <s v="Seed"/>
    <n v="57000"/>
    <d v="2022-11-11T00:00:00"/>
    <x v="5"/>
    <s v="November"/>
    <n v="11"/>
    <x v="0"/>
    <x v="0"/>
    <x v="1"/>
  </r>
  <r>
    <x v="76"/>
    <x v="3"/>
    <s v="Smart Home"/>
    <x v="6"/>
    <x v="6"/>
    <s v="Series B"/>
    <n v="18181000"/>
    <d v="2020-11-04T00:00:00"/>
    <x v="4"/>
    <s v="November"/>
    <n v="11"/>
    <x v="1"/>
    <x v="2"/>
    <x v="3"/>
  </r>
  <r>
    <x v="62"/>
    <x v="6"/>
    <s v="Cloud Kitchen"/>
    <x v="0"/>
    <x v="14"/>
    <s v="Series D"/>
    <n v="174427000"/>
    <d v="2024-02-04T00:00:00"/>
    <x v="3"/>
    <s v="February"/>
    <n v="2"/>
    <x v="2"/>
    <x v="3"/>
    <x v="1"/>
  </r>
  <r>
    <x v="87"/>
    <x v="0"/>
    <s v="Coding Bootcamp"/>
    <x v="7"/>
    <x v="165"/>
    <s v="Series A"/>
    <n v="2173000"/>
    <d v="2022-06-16T00:00:00"/>
    <x v="5"/>
    <s v="June"/>
    <n v="6"/>
    <x v="1"/>
    <x v="1"/>
    <x v="0"/>
  </r>
  <r>
    <x v="44"/>
    <x v="7"/>
    <s v="WealthTech"/>
    <x v="0"/>
    <x v="157"/>
    <s v="Series B"/>
    <n v="25728000"/>
    <d v="2020-12-02T00:00:00"/>
    <x v="4"/>
    <s v="December"/>
    <n v="12"/>
    <x v="1"/>
    <x v="2"/>
    <x v="4"/>
  </r>
  <r>
    <x v="40"/>
    <x v="0"/>
    <s v="Coding Bootcamp"/>
    <x v="4"/>
    <x v="166"/>
    <s v="Seed"/>
    <n v="56000"/>
    <d v="2023-09-08T00:00:00"/>
    <x v="0"/>
    <s v="September"/>
    <n v="9"/>
    <x v="0"/>
    <x v="0"/>
    <x v="0"/>
  </r>
  <r>
    <x v="127"/>
    <x v="6"/>
    <s v="Food Delivery"/>
    <x v="1"/>
    <x v="98"/>
    <s v="Series B"/>
    <n v="5546000"/>
    <d v="2021-02-25T00:00:00"/>
    <x v="2"/>
    <s v="February"/>
    <n v="2"/>
    <x v="1"/>
    <x v="1"/>
    <x v="1"/>
  </r>
  <r>
    <x v="128"/>
    <x v="12"/>
    <s v="Supply Chain"/>
    <x v="8"/>
    <x v="39"/>
    <s v="Seed"/>
    <n v="1040000"/>
    <d v="2021-10-29T00:00:00"/>
    <x v="2"/>
    <s v="October"/>
    <n v="10"/>
    <x v="0"/>
    <x v="1"/>
    <x v="2"/>
  </r>
  <r>
    <x v="17"/>
    <x v="4"/>
    <s v="Home Services"/>
    <x v="8"/>
    <x v="86"/>
    <s v="Bridge"/>
    <n v="189000"/>
    <d v="2021-10-03T00:00:00"/>
    <x v="2"/>
    <s v="October"/>
    <n v="10"/>
    <x v="1"/>
    <x v="0"/>
    <x v="2"/>
  </r>
  <r>
    <x v="44"/>
    <x v="8"/>
    <s v="HRTech"/>
    <x v="5"/>
    <x v="167"/>
    <s v="Series A"/>
    <n v="1411000"/>
    <d v="2024-07-24T00:00:00"/>
    <x v="3"/>
    <s v="July"/>
    <n v="7"/>
    <x v="1"/>
    <x v="1"/>
    <x v="3"/>
  </r>
  <r>
    <x v="123"/>
    <x v="8"/>
    <s v="B2B SaaS"/>
    <x v="3"/>
    <x v="23"/>
    <s v="Seed"/>
    <n v="343000"/>
    <d v="2021-01-09T00:00:00"/>
    <x v="2"/>
    <s v="January"/>
    <n v="1"/>
    <x v="0"/>
    <x v="0"/>
    <x v="3"/>
  </r>
  <r>
    <x v="124"/>
    <x v="10"/>
    <s v="Health Analytics"/>
    <x v="9"/>
    <x v="168"/>
    <s v="Seed"/>
    <n v="856000"/>
    <d v="2023-07-25T00:00:00"/>
    <x v="0"/>
    <s v="July"/>
    <n v="7"/>
    <x v="0"/>
    <x v="0"/>
    <x v="0"/>
  </r>
  <r>
    <x v="113"/>
    <x v="2"/>
    <s v="Ride Sharing"/>
    <x v="5"/>
    <x v="69"/>
    <s v="Seed"/>
    <n v="111000"/>
    <d v="2021-01-18T00:00:00"/>
    <x v="2"/>
    <s v="January"/>
    <n v="1"/>
    <x v="0"/>
    <x v="0"/>
    <x v="2"/>
  </r>
  <r>
    <x v="3"/>
    <x v="11"/>
    <s v="Security"/>
    <x v="1"/>
    <x v="105"/>
    <s v="Series A"/>
    <n v="5402000"/>
    <d v="2021-02-03T00:00:00"/>
    <x v="2"/>
    <s v="February"/>
    <n v="2"/>
    <x v="1"/>
    <x v="1"/>
    <x v="3"/>
  </r>
  <r>
    <x v="32"/>
    <x v="3"/>
    <s v="Wearables"/>
    <x v="5"/>
    <x v="169"/>
    <s v="Series A"/>
    <n v="1260000"/>
    <d v="2020-06-18T00:00:00"/>
    <x v="4"/>
    <s v="June"/>
    <n v="6"/>
    <x v="1"/>
    <x v="1"/>
    <x v="3"/>
  </r>
  <r>
    <x v="95"/>
    <x v="7"/>
    <s v="WealthTech"/>
    <x v="3"/>
    <x v="170"/>
    <s v="Series A"/>
    <n v="1150000"/>
    <d v="2020-12-10T00:00:00"/>
    <x v="4"/>
    <s v="December"/>
    <n v="12"/>
    <x v="1"/>
    <x v="1"/>
    <x v="4"/>
  </r>
  <r>
    <x v="32"/>
    <x v="13"/>
    <s v="Grocery"/>
    <x v="0"/>
    <x v="41"/>
    <s v="Seed"/>
    <n v="355000"/>
    <d v="2023-01-17T00:00:00"/>
    <x v="0"/>
    <s v="January"/>
    <n v="1"/>
    <x v="0"/>
    <x v="0"/>
    <x v="1"/>
  </r>
  <r>
    <x v="55"/>
    <x v="5"/>
    <s v="Fashion"/>
    <x v="5"/>
    <x v="98"/>
    <s v="Series A"/>
    <n v="4324000"/>
    <d v="2022-05-20T00:00:00"/>
    <x v="5"/>
    <s v="May"/>
    <n v="5"/>
    <x v="1"/>
    <x v="1"/>
    <x v="1"/>
  </r>
  <r>
    <x v="10"/>
    <x v="7"/>
    <s v="InsurTech"/>
    <x v="2"/>
    <x v="39"/>
    <s v="Seed"/>
    <n v="525000"/>
    <d v="2024-07-30T00:00:00"/>
    <x v="3"/>
    <s v="July"/>
    <n v="7"/>
    <x v="0"/>
    <x v="0"/>
    <x v="4"/>
  </r>
  <r>
    <x v="0"/>
    <x v="5"/>
    <s v="E-Retail"/>
    <x v="3"/>
    <x v="171"/>
    <s v="Series C"/>
    <n v="142883000"/>
    <d v="2023-04-19T00:00:00"/>
    <x v="0"/>
    <s v="April"/>
    <n v="4"/>
    <x v="2"/>
    <x v="3"/>
    <x v="1"/>
  </r>
  <r>
    <x v="53"/>
    <x v="12"/>
    <s v="Supply Chain"/>
    <x v="3"/>
    <x v="41"/>
    <s v="Series C"/>
    <n v="281010000"/>
    <d v="2024-07-07T00:00:00"/>
    <x v="3"/>
    <s v="July"/>
    <n v="7"/>
    <x v="2"/>
    <x v="3"/>
    <x v="2"/>
  </r>
  <r>
    <x v="23"/>
    <x v="10"/>
    <s v="Pharmacy"/>
    <x v="2"/>
    <x v="172"/>
    <s v="Seed"/>
    <n v="336000"/>
    <d v="2021-07-01T00:00:00"/>
    <x v="2"/>
    <s v="July"/>
    <n v="7"/>
    <x v="0"/>
    <x v="0"/>
    <x v="0"/>
  </r>
  <r>
    <x v="67"/>
    <x v="10"/>
    <s v="Health Analytics"/>
    <x v="1"/>
    <x v="173"/>
    <s v="Debt"/>
    <n v="744000"/>
    <d v="2024-11-10T00:00:00"/>
    <x v="3"/>
    <s v="November"/>
    <n v="11"/>
    <x v="2"/>
    <x v="0"/>
    <x v="0"/>
  </r>
  <r>
    <x v="99"/>
    <x v="5"/>
    <s v="Fashion"/>
    <x v="9"/>
    <x v="174"/>
    <s v="Series A"/>
    <n v="8614000"/>
    <d v="2023-03-28T00:00:00"/>
    <x v="0"/>
    <s v="March"/>
    <n v="3"/>
    <x v="1"/>
    <x v="1"/>
    <x v="1"/>
  </r>
  <r>
    <x v="30"/>
    <x v="6"/>
    <s v="Grocery"/>
    <x v="2"/>
    <x v="39"/>
    <s v="Series B"/>
    <n v="10595000"/>
    <d v="2024-12-01T00:00:00"/>
    <x v="3"/>
    <s v="December"/>
    <n v="12"/>
    <x v="1"/>
    <x v="2"/>
    <x v="1"/>
  </r>
  <r>
    <x v="90"/>
    <x v="8"/>
    <s v="B2B SaaS"/>
    <x v="0"/>
    <x v="175"/>
    <s v="Series B"/>
    <n v="16887000"/>
    <d v="2022-07-27T00:00:00"/>
    <x v="5"/>
    <s v="July"/>
    <n v="7"/>
    <x v="1"/>
    <x v="2"/>
    <x v="3"/>
  </r>
  <r>
    <x v="66"/>
    <x v="6"/>
    <s v="Cloud Kitchen"/>
    <x v="5"/>
    <x v="103"/>
    <s v="Seed"/>
    <n v="67000"/>
    <d v="2024-08-23T00:00:00"/>
    <x v="3"/>
    <s v="August"/>
    <n v="8"/>
    <x v="0"/>
    <x v="0"/>
    <x v="1"/>
  </r>
  <r>
    <x v="68"/>
    <x v="3"/>
    <s v="Wearables"/>
    <x v="1"/>
    <x v="176"/>
    <s v="Pre-Seed"/>
    <n v="21000"/>
    <d v="2023-07-06T00:00:00"/>
    <x v="0"/>
    <s v="July"/>
    <n v="7"/>
    <x v="0"/>
    <x v="0"/>
    <x v="3"/>
  </r>
  <r>
    <x v="13"/>
    <x v="7"/>
    <s v="InsurTech"/>
    <x v="3"/>
    <x v="1"/>
    <s v="Debt"/>
    <n v="39642000"/>
    <d v="2025-02-05T00:00:00"/>
    <x v="1"/>
    <s v="February"/>
    <n v="2"/>
    <x v="2"/>
    <x v="2"/>
    <x v="4"/>
  </r>
  <r>
    <x v="71"/>
    <x v="10"/>
    <s v="Pharmacy"/>
    <x v="0"/>
    <x v="14"/>
    <s v="Series B"/>
    <n v="50768000"/>
    <d v="2021-05-27T00:00:00"/>
    <x v="2"/>
    <s v="May"/>
    <n v="5"/>
    <x v="1"/>
    <x v="2"/>
    <x v="0"/>
  </r>
  <r>
    <x v="53"/>
    <x v="7"/>
    <s v="InsurTech"/>
    <x v="2"/>
    <x v="39"/>
    <s v="Series B"/>
    <n v="34436000"/>
    <d v="2024-03-26T00:00:00"/>
    <x v="3"/>
    <s v="March"/>
    <n v="3"/>
    <x v="1"/>
    <x v="2"/>
    <x v="4"/>
  </r>
  <r>
    <x v="30"/>
    <x v="1"/>
    <s v="Social"/>
    <x v="1"/>
    <x v="79"/>
    <s v="Seed"/>
    <n v="226000"/>
    <d v="2020-06-08T00:00:00"/>
    <x v="4"/>
    <s v="June"/>
    <n v="6"/>
    <x v="0"/>
    <x v="0"/>
    <x v="1"/>
  </r>
  <r>
    <x v="5"/>
    <x v="7"/>
    <s v="Payments"/>
    <x v="7"/>
    <x v="177"/>
    <s v="Series C"/>
    <n v="31977000"/>
    <d v="2024-10-27T00:00:00"/>
    <x v="3"/>
    <s v="October"/>
    <n v="10"/>
    <x v="2"/>
    <x v="2"/>
    <x v="4"/>
  </r>
  <r>
    <x v="22"/>
    <x v="1"/>
    <s v="Social"/>
    <x v="0"/>
    <x v="64"/>
    <s v="Seed"/>
    <n v="89000"/>
    <d v="2024-12-09T00:00:00"/>
    <x v="3"/>
    <s v="December"/>
    <n v="12"/>
    <x v="0"/>
    <x v="0"/>
    <x v="1"/>
  </r>
  <r>
    <x v="129"/>
    <x v="4"/>
    <s v="PropTech"/>
    <x v="0"/>
    <x v="178"/>
    <s v="Series A"/>
    <n v="1969000"/>
    <d v="2020-01-18T00:00:00"/>
    <x v="4"/>
    <s v="January"/>
    <n v="1"/>
    <x v="1"/>
    <x v="1"/>
    <x v="2"/>
  </r>
  <r>
    <x v="130"/>
    <x v="4"/>
    <s v="Rental Tech"/>
    <x v="4"/>
    <x v="179"/>
    <s v="Angel"/>
    <n v="26000"/>
    <d v="2023-06-15T00:00:00"/>
    <x v="0"/>
    <s v="June"/>
    <n v="6"/>
    <x v="0"/>
    <x v="0"/>
    <x v="2"/>
  </r>
  <r>
    <x v="92"/>
    <x v="12"/>
    <s v="Marketplace"/>
    <x v="9"/>
    <x v="4"/>
    <s v="Pre-Series A"/>
    <n v="518000"/>
    <d v="2022-05-29T00:00:00"/>
    <x v="5"/>
    <s v="May"/>
    <n v="5"/>
    <x v="1"/>
    <x v="0"/>
    <x v="2"/>
  </r>
  <r>
    <x v="10"/>
    <x v="13"/>
    <s v="Marketplace"/>
    <x v="8"/>
    <x v="180"/>
    <s v="Series A"/>
    <n v="5977000"/>
    <d v="2024-01-16T00:00:00"/>
    <x v="3"/>
    <s v="January"/>
    <n v="1"/>
    <x v="1"/>
    <x v="1"/>
    <x v="1"/>
  </r>
  <r>
    <x v="79"/>
    <x v="4"/>
    <s v="Home Services"/>
    <x v="3"/>
    <x v="98"/>
    <s v="Series A"/>
    <n v="2134000"/>
    <d v="2022-11-09T00:00:00"/>
    <x v="5"/>
    <s v="November"/>
    <n v="11"/>
    <x v="1"/>
    <x v="1"/>
    <x v="2"/>
  </r>
  <r>
    <x v="131"/>
    <x v="4"/>
    <s v="PropTech"/>
    <x v="3"/>
    <x v="61"/>
    <s v="Series A"/>
    <n v="13274000"/>
    <d v="2020-08-18T00:00:00"/>
    <x v="4"/>
    <s v="August"/>
    <n v="8"/>
    <x v="1"/>
    <x v="2"/>
    <x v="2"/>
  </r>
  <r>
    <x v="1"/>
    <x v="2"/>
    <s v="Ride Sharing"/>
    <x v="7"/>
    <x v="181"/>
    <s v="Angel"/>
    <n v="46000"/>
    <d v="2020-09-27T00:00:00"/>
    <x v="4"/>
    <s v="September"/>
    <n v="9"/>
    <x v="0"/>
    <x v="0"/>
    <x v="2"/>
  </r>
  <r>
    <x v="19"/>
    <x v="2"/>
    <s v="Micro Mobility"/>
    <x v="4"/>
    <x v="29"/>
    <s v="Series C"/>
    <n v="89743000"/>
    <d v="2025-05-08T00:00:00"/>
    <x v="1"/>
    <s v="May"/>
    <n v="5"/>
    <x v="2"/>
    <x v="2"/>
    <x v="2"/>
  </r>
  <r>
    <x v="63"/>
    <x v="7"/>
    <s v="WealthTech"/>
    <x v="3"/>
    <x v="182"/>
    <s v="Pre-Seed"/>
    <n v="82000"/>
    <d v="2020-05-03T00:00:00"/>
    <x v="4"/>
    <s v="May"/>
    <n v="5"/>
    <x v="0"/>
    <x v="0"/>
    <x v="4"/>
  </r>
  <r>
    <x v="69"/>
    <x v="6"/>
    <s v="Grocery"/>
    <x v="9"/>
    <x v="33"/>
    <s v="Seed"/>
    <n v="235000"/>
    <d v="2023-01-03T00:00:00"/>
    <x v="0"/>
    <s v="January"/>
    <n v="1"/>
    <x v="0"/>
    <x v="0"/>
    <x v="1"/>
  </r>
  <r>
    <x v="132"/>
    <x v="0"/>
    <s v="K12"/>
    <x v="8"/>
    <x v="183"/>
    <s v="Seed"/>
    <n v="125000"/>
    <d v="2023-04-16T00:00:00"/>
    <x v="0"/>
    <s v="April"/>
    <n v="4"/>
    <x v="0"/>
    <x v="0"/>
    <x v="0"/>
  </r>
  <r>
    <x v="61"/>
    <x v="1"/>
    <s v="Social"/>
    <x v="1"/>
    <x v="184"/>
    <s v="Seed"/>
    <n v="186000"/>
    <d v="2025-03-08T00:00:00"/>
    <x v="1"/>
    <s v="March"/>
    <n v="3"/>
    <x v="0"/>
    <x v="0"/>
    <x v="1"/>
  </r>
  <r>
    <x v="115"/>
    <x v="1"/>
    <s v="Streaming"/>
    <x v="4"/>
    <x v="23"/>
    <s v="Seed"/>
    <n v="819000"/>
    <d v="2023-12-20T00:00:00"/>
    <x v="0"/>
    <s v="December"/>
    <n v="12"/>
    <x v="0"/>
    <x v="0"/>
    <x v="1"/>
  </r>
  <r>
    <x v="93"/>
    <x v="3"/>
    <s v="Wearables"/>
    <x v="8"/>
    <x v="185"/>
    <s v="Series A"/>
    <n v="1040000"/>
    <d v="2024-08-11T00:00:00"/>
    <x v="3"/>
    <s v="August"/>
    <n v="8"/>
    <x v="1"/>
    <x v="1"/>
    <x v="3"/>
  </r>
  <r>
    <x v="98"/>
    <x v="13"/>
    <s v="Quick Commerce"/>
    <x v="7"/>
    <x v="186"/>
    <s v="Series C"/>
    <n v="27387000"/>
    <d v="2021-07-11T00:00:00"/>
    <x v="2"/>
    <s v="July"/>
    <n v="7"/>
    <x v="2"/>
    <x v="2"/>
    <x v="1"/>
  </r>
  <r>
    <x v="34"/>
    <x v="3"/>
    <s v="Wearables"/>
    <x v="8"/>
    <x v="7"/>
    <s v="Pre-Series A"/>
    <n v="111000"/>
    <d v="2022-10-20T00:00:00"/>
    <x v="5"/>
    <s v="October"/>
    <n v="10"/>
    <x v="1"/>
    <x v="0"/>
    <x v="3"/>
  </r>
  <r>
    <x v="14"/>
    <x v="12"/>
    <s v="Marketplace"/>
    <x v="0"/>
    <x v="19"/>
    <s v="Seed"/>
    <n v="58000"/>
    <d v="2022-11-08T00:00:00"/>
    <x v="5"/>
    <s v="November"/>
    <n v="11"/>
    <x v="0"/>
    <x v="0"/>
    <x v="2"/>
  </r>
  <r>
    <x v="133"/>
    <x v="3"/>
    <s v="Wearables"/>
    <x v="9"/>
    <x v="41"/>
    <s v="Angel"/>
    <n v="65000"/>
    <d v="2021-01-01T00:00:00"/>
    <x v="2"/>
    <s v="January"/>
    <n v="1"/>
    <x v="0"/>
    <x v="0"/>
    <x v="3"/>
  </r>
  <r>
    <x v="36"/>
    <x v="0"/>
    <s v="Coding Bootcamp"/>
    <x v="7"/>
    <x v="187"/>
    <s v="Seed"/>
    <n v="670000"/>
    <d v="2020-06-08T00:00:00"/>
    <x v="4"/>
    <s v="June"/>
    <n v="6"/>
    <x v="0"/>
    <x v="0"/>
    <x v="0"/>
  </r>
  <r>
    <x v="3"/>
    <x v="10"/>
    <s v="Diagnostics"/>
    <x v="8"/>
    <x v="35"/>
    <s v="Debt"/>
    <n v="1904000"/>
    <d v="2025-05-07T00:00:00"/>
    <x v="1"/>
    <s v="May"/>
    <n v="5"/>
    <x v="2"/>
    <x v="1"/>
    <x v="0"/>
  </r>
  <r>
    <x v="49"/>
    <x v="9"/>
    <s v="Supply Chain"/>
    <x v="0"/>
    <x v="0"/>
    <s v="Series A"/>
    <n v="1303000"/>
    <d v="2020-01-17T00:00:00"/>
    <x v="4"/>
    <s v="January"/>
    <n v="1"/>
    <x v="1"/>
    <x v="1"/>
    <x v="2"/>
  </r>
  <r>
    <x v="71"/>
    <x v="1"/>
    <s v="Streaming"/>
    <x v="3"/>
    <x v="188"/>
    <s v="Series A"/>
    <n v="3786000"/>
    <d v="2023-04-26T00:00:00"/>
    <x v="0"/>
    <s v="April"/>
    <n v="4"/>
    <x v="1"/>
    <x v="1"/>
    <x v="1"/>
  </r>
  <r>
    <x v="31"/>
    <x v="6"/>
    <s v="Cloud Kitchen"/>
    <x v="3"/>
    <x v="189"/>
    <s v="Series A"/>
    <n v="3605000"/>
    <d v="2023-07-26T00:00:00"/>
    <x v="0"/>
    <s v="July"/>
    <n v="7"/>
    <x v="1"/>
    <x v="1"/>
    <x v="1"/>
  </r>
  <r>
    <x v="45"/>
    <x v="1"/>
    <s v="Content"/>
    <x v="0"/>
    <x v="35"/>
    <s v="Seed"/>
    <n v="95000"/>
    <d v="2021-05-02T00:00:00"/>
    <x v="2"/>
    <s v="May"/>
    <n v="5"/>
    <x v="0"/>
    <x v="0"/>
    <x v="1"/>
  </r>
  <r>
    <x v="134"/>
    <x v="13"/>
    <s v="Quick Commerce"/>
    <x v="3"/>
    <x v="190"/>
    <s v="Angel"/>
    <n v="18000"/>
    <d v="2022-11-30T00:00:00"/>
    <x v="5"/>
    <s v="November"/>
    <n v="11"/>
    <x v="0"/>
    <x v="0"/>
    <x v="1"/>
  </r>
  <r>
    <x v="123"/>
    <x v="2"/>
    <s v="Ride Sharing"/>
    <x v="9"/>
    <x v="39"/>
    <s v="Seed"/>
    <n v="217000"/>
    <d v="2023-03-08T00:00:00"/>
    <x v="0"/>
    <s v="March"/>
    <n v="3"/>
    <x v="0"/>
    <x v="0"/>
    <x v="2"/>
  </r>
  <r>
    <x v="68"/>
    <x v="9"/>
    <s v="Supply Chain"/>
    <x v="9"/>
    <x v="103"/>
    <s v="Series B"/>
    <n v="27576000"/>
    <d v="2024-02-15T00:00:00"/>
    <x v="3"/>
    <s v="February"/>
    <n v="2"/>
    <x v="1"/>
    <x v="2"/>
    <x v="2"/>
  </r>
  <r>
    <x v="38"/>
    <x v="0"/>
    <s v="K12"/>
    <x v="6"/>
    <x v="39"/>
    <s v="Seed"/>
    <n v="521000"/>
    <d v="2020-08-04T00:00:00"/>
    <x v="4"/>
    <s v="August"/>
    <n v="8"/>
    <x v="0"/>
    <x v="0"/>
    <x v="0"/>
  </r>
  <r>
    <x v="25"/>
    <x v="2"/>
    <s v="EV"/>
    <x v="3"/>
    <x v="1"/>
    <s v="Series A"/>
    <n v="1131000"/>
    <d v="2022-08-06T00:00:00"/>
    <x v="5"/>
    <s v="August"/>
    <n v="8"/>
    <x v="1"/>
    <x v="1"/>
    <x v="2"/>
  </r>
  <r>
    <x v="30"/>
    <x v="10"/>
    <s v="Pharmacy"/>
    <x v="6"/>
    <x v="64"/>
    <s v="Pre-Seed"/>
    <n v="47000"/>
    <d v="2024-09-07T00:00:00"/>
    <x v="3"/>
    <s v="September"/>
    <n v="9"/>
    <x v="0"/>
    <x v="0"/>
    <x v="0"/>
  </r>
  <r>
    <x v="10"/>
    <x v="6"/>
    <s v="Grocery"/>
    <x v="1"/>
    <x v="29"/>
    <s v="Series B"/>
    <n v="28352000"/>
    <d v="2021-06-16T00:00:00"/>
    <x v="2"/>
    <s v="June"/>
    <n v="6"/>
    <x v="1"/>
    <x v="2"/>
    <x v="1"/>
  </r>
  <r>
    <x v="58"/>
    <x v="2"/>
    <s v="Micro Mobility"/>
    <x v="8"/>
    <x v="4"/>
    <s v="Seed"/>
    <n v="320000"/>
    <d v="2022-08-04T00:00:00"/>
    <x v="5"/>
    <s v="August"/>
    <n v="8"/>
    <x v="0"/>
    <x v="0"/>
    <x v="2"/>
  </r>
  <r>
    <x v="92"/>
    <x v="7"/>
    <s v="Lending"/>
    <x v="4"/>
    <x v="110"/>
    <s v="Seed"/>
    <n v="1178000"/>
    <d v="2022-03-31T00:00:00"/>
    <x v="5"/>
    <s v="March"/>
    <n v="3"/>
    <x v="0"/>
    <x v="1"/>
    <x v="4"/>
  </r>
  <r>
    <x v="123"/>
    <x v="9"/>
    <s v="Last Mile"/>
    <x v="1"/>
    <x v="191"/>
    <s v="Debt"/>
    <n v="5995000"/>
    <d v="2021-02-08T00:00:00"/>
    <x v="2"/>
    <s v="February"/>
    <n v="2"/>
    <x v="2"/>
    <x v="1"/>
    <x v="2"/>
  </r>
  <r>
    <x v="78"/>
    <x v="3"/>
    <s v="Audio"/>
    <x v="4"/>
    <x v="192"/>
    <s v="Angel"/>
    <n v="8000"/>
    <d v="2022-06-06T00:00:00"/>
    <x v="5"/>
    <s v="June"/>
    <n v="6"/>
    <x v="0"/>
    <x v="0"/>
    <x v="3"/>
  </r>
  <r>
    <x v="113"/>
    <x v="8"/>
    <s v="DevTools"/>
    <x v="4"/>
    <x v="29"/>
    <s v="Seed"/>
    <n v="65000"/>
    <d v="2022-07-02T00:00:00"/>
    <x v="5"/>
    <s v="July"/>
    <n v="7"/>
    <x v="0"/>
    <x v="0"/>
    <x v="3"/>
  </r>
  <r>
    <x v="31"/>
    <x v="3"/>
    <s v="Wearables"/>
    <x v="8"/>
    <x v="14"/>
    <s v="Series A"/>
    <n v="5696000"/>
    <d v="2020-06-28T00:00:00"/>
    <x v="4"/>
    <s v="June"/>
    <n v="6"/>
    <x v="1"/>
    <x v="1"/>
    <x v="3"/>
  </r>
  <r>
    <x v="36"/>
    <x v="5"/>
    <s v="Fashion"/>
    <x v="3"/>
    <x v="188"/>
    <s v="Series B"/>
    <n v="5381000"/>
    <d v="2024-06-30T00:00:00"/>
    <x v="3"/>
    <s v="June"/>
    <n v="6"/>
    <x v="1"/>
    <x v="1"/>
    <x v="1"/>
  </r>
  <r>
    <x v="135"/>
    <x v="3"/>
    <s v="Smart Home"/>
    <x v="5"/>
    <x v="193"/>
    <s v="Seed"/>
    <n v="434000"/>
    <d v="2023-03-04T00:00:00"/>
    <x v="0"/>
    <s v="March"/>
    <n v="3"/>
    <x v="0"/>
    <x v="0"/>
    <x v="3"/>
  </r>
  <r>
    <x v="79"/>
    <x v="0"/>
    <s v="Test Prep"/>
    <x v="2"/>
    <x v="194"/>
    <s v="Seed"/>
    <n v="1604000"/>
    <d v="2022-08-24T00:00:00"/>
    <x v="5"/>
    <s v="August"/>
    <n v="8"/>
    <x v="0"/>
    <x v="1"/>
    <x v="0"/>
  </r>
  <r>
    <x v="73"/>
    <x v="10"/>
    <s v="Telemedicine"/>
    <x v="3"/>
    <x v="77"/>
    <s v="Series B"/>
    <n v="24655000"/>
    <d v="2021-06-29T00:00:00"/>
    <x v="2"/>
    <s v="June"/>
    <n v="6"/>
    <x v="1"/>
    <x v="2"/>
    <x v="0"/>
  </r>
  <r>
    <x v="115"/>
    <x v="0"/>
    <s v="Coding Bootcamp"/>
    <x v="7"/>
    <x v="7"/>
    <s v="Angel"/>
    <n v="16000"/>
    <d v="2024-09-27T00:00:00"/>
    <x v="3"/>
    <s v="September"/>
    <n v="9"/>
    <x v="0"/>
    <x v="0"/>
    <x v="0"/>
  </r>
  <r>
    <x v="108"/>
    <x v="1"/>
    <s v="Content"/>
    <x v="6"/>
    <x v="65"/>
    <s v="Pre-Seed"/>
    <n v="88000"/>
    <d v="2023-12-05T00:00:00"/>
    <x v="0"/>
    <s v="December"/>
    <n v="12"/>
    <x v="0"/>
    <x v="0"/>
    <x v="1"/>
  </r>
  <r>
    <x v="134"/>
    <x v="0"/>
    <s v="Coding Bootcamp"/>
    <x v="8"/>
    <x v="17"/>
    <s v="Seed"/>
    <n v="271000"/>
    <d v="2022-10-01T00:00:00"/>
    <x v="5"/>
    <s v="October"/>
    <n v="10"/>
    <x v="0"/>
    <x v="0"/>
    <x v="0"/>
  </r>
  <r>
    <x v="73"/>
    <x v="12"/>
    <s v="Supply Chain"/>
    <x v="1"/>
    <x v="138"/>
    <s v="Series A"/>
    <n v="4382000"/>
    <d v="2020-01-02T00:00:00"/>
    <x v="4"/>
    <s v="January"/>
    <n v="1"/>
    <x v="1"/>
    <x v="1"/>
    <x v="2"/>
  </r>
  <r>
    <x v="103"/>
    <x v="8"/>
    <s v="DevTools"/>
    <x v="7"/>
    <x v="195"/>
    <s v="Seed"/>
    <n v="1612000"/>
    <d v="2020-10-29T00:00:00"/>
    <x v="4"/>
    <s v="October"/>
    <n v="10"/>
    <x v="0"/>
    <x v="1"/>
    <x v="3"/>
  </r>
  <r>
    <x v="136"/>
    <x v="11"/>
    <s v="Automation"/>
    <x v="7"/>
    <x v="196"/>
    <s v="Bridge"/>
    <n v="208000"/>
    <d v="2022-02-04T00:00:00"/>
    <x v="5"/>
    <s v="February"/>
    <n v="2"/>
    <x v="1"/>
    <x v="0"/>
    <x v="3"/>
  </r>
  <r>
    <x v="71"/>
    <x v="8"/>
    <s v="DevTools"/>
    <x v="4"/>
    <x v="197"/>
    <s v="Series B"/>
    <n v="71839000"/>
    <d v="2022-06-13T00:00:00"/>
    <x v="5"/>
    <s v="June"/>
    <n v="6"/>
    <x v="1"/>
    <x v="2"/>
    <x v="3"/>
  </r>
  <r>
    <x v="135"/>
    <x v="0"/>
    <s v="K12"/>
    <x v="9"/>
    <x v="64"/>
    <s v="Seed"/>
    <n v="1411000"/>
    <d v="2023-11-11T00:00:00"/>
    <x v="0"/>
    <s v="November"/>
    <n v="11"/>
    <x v="0"/>
    <x v="1"/>
    <x v="0"/>
  </r>
  <r>
    <x v="7"/>
    <x v="1"/>
    <s v="Streaming"/>
    <x v="9"/>
    <x v="198"/>
    <s v="Series D"/>
    <n v="78480000"/>
    <d v="2024-04-27T00:00:00"/>
    <x v="3"/>
    <s v="April"/>
    <n v="4"/>
    <x v="2"/>
    <x v="2"/>
    <x v="1"/>
  </r>
  <r>
    <x v="84"/>
    <x v="13"/>
    <s v="Fashion"/>
    <x v="4"/>
    <x v="14"/>
    <s v="Seed"/>
    <n v="65000"/>
    <d v="2020-06-08T00:00:00"/>
    <x v="4"/>
    <s v="June"/>
    <n v="6"/>
    <x v="0"/>
    <x v="0"/>
    <x v="1"/>
  </r>
  <r>
    <x v="108"/>
    <x v="13"/>
    <s v="D2C"/>
    <x v="5"/>
    <x v="23"/>
    <s v="Pre-Seed"/>
    <n v="25000"/>
    <d v="2021-03-05T00:00:00"/>
    <x v="2"/>
    <s v="March"/>
    <n v="3"/>
    <x v="0"/>
    <x v="0"/>
    <x v="1"/>
  </r>
  <r>
    <x v="42"/>
    <x v="13"/>
    <s v="Quick Commerce"/>
    <x v="1"/>
    <x v="71"/>
    <s v="Pre-Series A"/>
    <n v="104000"/>
    <d v="2024-02-09T00:00:00"/>
    <x v="3"/>
    <s v="February"/>
    <n v="2"/>
    <x v="1"/>
    <x v="0"/>
    <x v="1"/>
  </r>
  <r>
    <x v="32"/>
    <x v="8"/>
    <s v="MarTech"/>
    <x v="0"/>
    <x v="28"/>
    <s v="Series C"/>
    <n v="25829000"/>
    <d v="2024-06-03T00:00:00"/>
    <x v="3"/>
    <s v="June"/>
    <n v="6"/>
    <x v="2"/>
    <x v="2"/>
    <x v="3"/>
  </r>
  <r>
    <x v="93"/>
    <x v="3"/>
    <s v="Audio"/>
    <x v="1"/>
    <x v="65"/>
    <s v="Seed"/>
    <n v="621000"/>
    <d v="2021-10-14T00:00:00"/>
    <x v="2"/>
    <s v="October"/>
    <n v="10"/>
    <x v="0"/>
    <x v="0"/>
    <x v="3"/>
  </r>
  <r>
    <x v="1"/>
    <x v="8"/>
    <s v="DevTools"/>
    <x v="9"/>
    <x v="199"/>
    <s v="Seed"/>
    <n v="65000"/>
    <d v="2020-06-02T00:00:00"/>
    <x v="4"/>
    <s v="June"/>
    <n v="6"/>
    <x v="0"/>
    <x v="0"/>
    <x v="3"/>
  </r>
  <r>
    <x v="41"/>
    <x v="12"/>
    <s v="Smart Farming"/>
    <x v="1"/>
    <x v="79"/>
    <s v="Series A"/>
    <n v="2372000"/>
    <d v="2023-08-31T00:00:00"/>
    <x v="0"/>
    <s v="August"/>
    <n v="8"/>
    <x v="1"/>
    <x v="1"/>
    <x v="2"/>
  </r>
  <r>
    <x v="137"/>
    <x v="13"/>
    <s v="D2C"/>
    <x v="3"/>
    <x v="200"/>
    <s v="Bridge"/>
    <n v="1129000"/>
    <d v="2022-04-18T00:00:00"/>
    <x v="5"/>
    <s v="April"/>
    <n v="4"/>
    <x v="1"/>
    <x v="1"/>
    <x v="1"/>
  </r>
  <r>
    <x v="49"/>
    <x v="13"/>
    <s v="Quick Commerce"/>
    <x v="9"/>
    <x v="148"/>
    <s v="Series A"/>
    <n v="1065000"/>
    <d v="2024-09-16T00:00:00"/>
    <x v="3"/>
    <s v="September"/>
    <n v="9"/>
    <x v="1"/>
    <x v="1"/>
    <x v="1"/>
  </r>
  <r>
    <x v="40"/>
    <x v="11"/>
    <s v="Automation"/>
    <x v="6"/>
    <x v="0"/>
    <s v="Series A"/>
    <n v="9076000"/>
    <d v="2020-07-17T00:00:00"/>
    <x v="4"/>
    <s v="July"/>
    <n v="7"/>
    <x v="1"/>
    <x v="1"/>
    <x v="3"/>
  </r>
  <r>
    <x v="95"/>
    <x v="13"/>
    <s v="Fashion"/>
    <x v="0"/>
    <x v="97"/>
    <s v="Seed"/>
    <n v="141000"/>
    <d v="2022-03-25T00:00:00"/>
    <x v="5"/>
    <s v="March"/>
    <n v="3"/>
    <x v="0"/>
    <x v="0"/>
    <x v="1"/>
  </r>
  <r>
    <x v="30"/>
    <x v="4"/>
    <s v="Rental Tech"/>
    <x v="9"/>
    <x v="201"/>
    <s v="Seed"/>
    <n v="77000"/>
    <d v="2024-12-18T00:00:00"/>
    <x v="3"/>
    <s v="December"/>
    <n v="12"/>
    <x v="0"/>
    <x v="0"/>
    <x v="2"/>
  </r>
  <r>
    <x v="17"/>
    <x v="3"/>
    <s v="Wearables"/>
    <x v="2"/>
    <x v="202"/>
    <s v="Seed"/>
    <n v="653000"/>
    <d v="2021-07-04T00:00:00"/>
    <x v="2"/>
    <s v="July"/>
    <n v="7"/>
    <x v="0"/>
    <x v="0"/>
    <x v="3"/>
  </r>
  <r>
    <x v="67"/>
    <x v="13"/>
    <s v="D2C"/>
    <x v="8"/>
    <x v="203"/>
    <s v="Pre-Series A"/>
    <n v="426000"/>
    <d v="2024-03-29T00:00:00"/>
    <x v="3"/>
    <s v="March"/>
    <n v="3"/>
    <x v="1"/>
    <x v="0"/>
    <x v="1"/>
  </r>
  <r>
    <x v="124"/>
    <x v="6"/>
    <s v="Grocery"/>
    <x v="5"/>
    <x v="204"/>
    <s v="Series A"/>
    <n v="10764000"/>
    <d v="2021-04-27T00:00:00"/>
    <x v="2"/>
    <s v="April"/>
    <n v="4"/>
    <x v="1"/>
    <x v="2"/>
    <x v="1"/>
  </r>
  <r>
    <x v="122"/>
    <x v="2"/>
    <s v="Micro Mobility"/>
    <x v="6"/>
    <x v="205"/>
    <s v="Seed"/>
    <n v="753000"/>
    <d v="2025-04-28T00:00:00"/>
    <x v="1"/>
    <s v="April"/>
    <n v="4"/>
    <x v="0"/>
    <x v="0"/>
    <x v="2"/>
  </r>
  <r>
    <x v="130"/>
    <x v="5"/>
    <s v="E-Retail"/>
    <x v="4"/>
    <x v="206"/>
    <s v="Pre-Seed"/>
    <n v="127000"/>
    <d v="2020-06-09T00:00:00"/>
    <x v="4"/>
    <s v="June"/>
    <n v="6"/>
    <x v="0"/>
    <x v="0"/>
    <x v="1"/>
  </r>
  <r>
    <x v="24"/>
    <x v="8"/>
    <s v="B2B SaaS"/>
    <x v="0"/>
    <x v="193"/>
    <s v="Pre-Series A"/>
    <n v="191000"/>
    <d v="2022-03-24T00:00:00"/>
    <x v="5"/>
    <s v="March"/>
    <n v="3"/>
    <x v="1"/>
    <x v="0"/>
    <x v="3"/>
  </r>
  <r>
    <x v="114"/>
    <x v="7"/>
    <s v="NeoBank"/>
    <x v="6"/>
    <x v="86"/>
    <s v="Series A"/>
    <n v="1617000"/>
    <d v="2022-05-09T00:00:00"/>
    <x v="5"/>
    <s v="May"/>
    <n v="5"/>
    <x v="1"/>
    <x v="1"/>
    <x v="4"/>
  </r>
  <r>
    <x v="65"/>
    <x v="12"/>
    <s v="Supply Chain"/>
    <x v="0"/>
    <x v="1"/>
    <s v="Series A"/>
    <n v="7635000"/>
    <d v="2020-07-25T00:00:00"/>
    <x v="4"/>
    <s v="July"/>
    <n v="7"/>
    <x v="1"/>
    <x v="1"/>
    <x v="2"/>
  </r>
  <r>
    <x v="116"/>
    <x v="9"/>
    <s v="Supply Chain"/>
    <x v="5"/>
    <x v="7"/>
    <s v="Series A"/>
    <n v="8890000"/>
    <d v="2022-08-26T00:00:00"/>
    <x v="5"/>
    <s v="August"/>
    <n v="8"/>
    <x v="1"/>
    <x v="1"/>
    <x v="2"/>
  </r>
  <r>
    <x v="58"/>
    <x v="12"/>
    <s v="Marketplace"/>
    <x v="9"/>
    <x v="110"/>
    <s v="Pre-Seed"/>
    <n v="196000"/>
    <d v="2024-12-26T00:00:00"/>
    <x v="3"/>
    <s v="December"/>
    <n v="12"/>
    <x v="0"/>
    <x v="0"/>
    <x v="2"/>
  </r>
  <r>
    <x v="117"/>
    <x v="1"/>
    <s v="Content"/>
    <x v="2"/>
    <x v="69"/>
    <s v="Angel"/>
    <n v="17000"/>
    <d v="2020-02-11T00:00:00"/>
    <x v="4"/>
    <s v="February"/>
    <n v="2"/>
    <x v="0"/>
    <x v="0"/>
    <x v="1"/>
  </r>
  <r>
    <x v="71"/>
    <x v="9"/>
    <s v="Supply Chain"/>
    <x v="5"/>
    <x v="6"/>
    <s v="Series D"/>
    <n v="117757000"/>
    <d v="2023-11-03T00:00:00"/>
    <x v="0"/>
    <s v="November"/>
    <n v="11"/>
    <x v="2"/>
    <x v="3"/>
    <x v="2"/>
  </r>
  <r>
    <x v="22"/>
    <x v="1"/>
    <s v="Content"/>
    <x v="7"/>
    <x v="207"/>
    <s v="Seed"/>
    <n v="877000"/>
    <d v="2022-05-03T00:00:00"/>
    <x v="5"/>
    <s v="May"/>
    <n v="5"/>
    <x v="0"/>
    <x v="0"/>
    <x v="1"/>
  </r>
  <r>
    <x v="130"/>
    <x v="11"/>
    <s v="Security"/>
    <x v="5"/>
    <x v="69"/>
    <s v="Series C"/>
    <n v="50332000"/>
    <d v="2024-11-11T00:00:00"/>
    <x v="3"/>
    <s v="November"/>
    <n v="11"/>
    <x v="2"/>
    <x v="2"/>
    <x v="3"/>
  </r>
  <r>
    <x v="138"/>
    <x v="1"/>
    <s v="Streaming"/>
    <x v="9"/>
    <x v="84"/>
    <s v="Seed"/>
    <n v="1549000"/>
    <d v="2024-10-09T00:00:00"/>
    <x v="3"/>
    <s v="October"/>
    <n v="10"/>
    <x v="0"/>
    <x v="1"/>
    <x v="1"/>
  </r>
  <r>
    <x v="28"/>
    <x v="0"/>
    <s v="Test Prep"/>
    <x v="3"/>
    <x v="23"/>
    <s v="Pre-Seed"/>
    <n v="144000"/>
    <d v="2020-04-13T00:00:00"/>
    <x v="4"/>
    <s v="April"/>
    <n v="4"/>
    <x v="0"/>
    <x v="0"/>
    <x v="0"/>
  </r>
  <r>
    <x v="47"/>
    <x v="3"/>
    <s v="Smart Home"/>
    <x v="9"/>
    <x v="208"/>
    <s v="Series B"/>
    <n v="16426000"/>
    <d v="2020-09-10T00:00:00"/>
    <x v="4"/>
    <s v="September"/>
    <n v="9"/>
    <x v="1"/>
    <x v="2"/>
    <x v="3"/>
  </r>
  <r>
    <x v="21"/>
    <x v="3"/>
    <s v="Smart Home"/>
    <x v="8"/>
    <x v="98"/>
    <s v="Seed"/>
    <n v="798000"/>
    <d v="2020-11-30T00:00:00"/>
    <x v="4"/>
    <s v="November"/>
    <n v="11"/>
    <x v="0"/>
    <x v="0"/>
    <x v="3"/>
  </r>
  <r>
    <x v="30"/>
    <x v="9"/>
    <s v="Last Mile"/>
    <x v="9"/>
    <x v="100"/>
    <s v="Pre-Seed"/>
    <n v="114000"/>
    <d v="2024-10-14T00:00:00"/>
    <x v="3"/>
    <s v="October"/>
    <n v="10"/>
    <x v="0"/>
    <x v="0"/>
    <x v="2"/>
  </r>
  <r>
    <x v="84"/>
    <x v="4"/>
    <s v="PropTech"/>
    <x v="2"/>
    <x v="1"/>
    <s v="Series B"/>
    <n v="6655000"/>
    <d v="2022-11-17T00:00:00"/>
    <x v="5"/>
    <s v="November"/>
    <n v="11"/>
    <x v="1"/>
    <x v="1"/>
    <x v="2"/>
  </r>
  <r>
    <x v="139"/>
    <x v="10"/>
    <s v="Diagnostics"/>
    <x v="6"/>
    <x v="79"/>
    <s v="Series C"/>
    <n v="230417000"/>
    <d v="2021-04-03T00:00:00"/>
    <x v="2"/>
    <s v="April"/>
    <n v="4"/>
    <x v="2"/>
    <x v="3"/>
    <x v="0"/>
  </r>
  <r>
    <x v="140"/>
    <x v="1"/>
    <s v="Streaming"/>
    <x v="2"/>
    <x v="39"/>
    <s v="Pre-Series A"/>
    <n v="320000"/>
    <d v="2022-02-10T00:00:00"/>
    <x v="5"/>
    <s v="February"/>
    <n v="2"/>
    <x v="1"/>
    <x v="0"/>
    <x v="1"/>
  </r>
  <r>
    <x v="77"/>
    <x v="4"/>
    <s v="Rental Tech"/>
    <x v="6"/>
    <x v="13"/>
    <s v="Pre-Series A"/>
    <n v="671000"/>
    <d v="2020-07-28T00:00:00"/>
    <x v="4"/>
    <s v="July"/>
    <n v="7"/>
    <x v="1"/>
    <x v="0"/>
    <x v="2"/>
  </r>
  <r>
    <x v="141"/>
    <x v="12"/>
    <s v="Marketplace"/>
    <x v="2"/>
    <x v="209"/>
    <s v="Seed"/>
    <n v="163000"/>
    <d v="2020-08-09T00:00:00"/>
    <x v="4"/>
    <s v="August"/>
    <n v="8"/>
    <x v="0"/>
    <x v="0"/>
    <x v="2"/>
  </r>
  <r>
    <x v="70"/>
    <x v="9"/>
    <s v="Fleet Management"/>
    <x v="2"/>
    <x v="138"/>
    <s v="Seed"/>
    <n v="1360000"/>
    <d v="2022-11-25T00:00:00"/>
    <x v="5"/>
    <s v="November"/>
    <n v="11"/>
    <x v="0"/>
    <x v="1"/>
    <x v="2"/>
  </r>
  <r>
    <x v="58"/>
    <x v="4"/>
    <s v="PropTech"/>
    <x v="1"/>
    <x v="138"/>
    <s v="Series B"/>
    <n v="14710000"/>
    <d v="2021-08-28T00:00:00"/>
    <x v="2"/>
    <s v="August"/>
    <n v="8"/>
    <x v="1"/>
    <x v="2"/>
    <x v="2"/>
  </r>
  <r>
    <x v="58"/>
    <x v="7"/>
    <s v="NeoBank"/>
    <x v="6"/>
    <x v="210"/>
    <s v="Series C"/>
    <n v="20596000"/>
    <d v="2021-12-03T00:00:00"/>
    <x v="2"/>
    <s v="December"/>
    <n v="12"/>
    <x v="2"/>
    <x v="2"/>
    <x v="4"/>
  </r>
  <r>
    <x v="2"/>
    <x v="4"/>
    <s v="Home Services"/>
    <x v="8"/>
    <x v="211"/>
    <s v="Seed"/>
    <n v="1411000"/>
    <d v="2020-12-14T00:00:00"/>
    <x v="4"/>
    <s v="December"/>
    <n v="12"/>
    <x v="0"/>
    <x v="1"/>
    <x v="2"/>
  </r>
  <r>
    <x v="39"/>
    <x v="1"/>
    <s v="Streaming"/>
    <x v="4"/>
    <x v="110"/>
    <s v="Bridge"/>
    <n v="70000"/>
    <d v="2025-01-16T00:00:00"/>
    <x v="1"/>
    <s v="January"/>
    <n v="1"/>
    <x v="1"/>
    <x v="0"/>
    <x v="1"/>
  </r>
  <r>
    <x v="84"/>
    <x v="1"/>
    <s v="Content"/>
    <x v="9"/>
    <x v="57"/>
    <s v="Series C"/>
    <n v="47487000"/>
    <d v="2021-11-09T00:00:00"/>
    <x v="2"/>
    <s v="November"/>
    <n v="11"/>
    <x v="2"/>
    <x v="2"/>
    <x v="1"/>
  </r>
  <r>
    <x v="131"/>
    <x v="3"/>
    <s v="Audio"/>
    <x v="5"/>
    <x v="56"/>
    <s v="Seed"/>
    <n v="1664000"/>
    <d v="2023-07-23T00:00:00"/>
    <x v="0"/>
    <s v="July"/>
    <n v="7"/>
    <x v="0"/>
    <x v="1"/>
    <x v="3"/>
  </r>
  <r>
    <x v="106"/>
    <x v="2"/>
    <s v="Ride Sharing"/>
    <x v="9"/>
    <x v="1"/>
    <s v="Series A"/>
    <n v="13122000"/>
    <d v="2022-04-26T00:00:00"/>
    <x v="5"/>
    <s v="April"/>
    <n v="4"/>
    <x v="1"/>
    <x v="2"/>
    <x v="2"/>
  </r>
  <r>
    <x v="18"/>
    <x v="0"/>
    <s v="UpSkilling"/>
    <x v="9"/>
    <x v="144"/>
    <s v="Debt"/>
    <n v="3529000"/>
    <d v="2025-01-02T00:00:00"/>
    <x v="1"/>
    <s v="January"/>
    <n v="1"/>
    <x v="2"/>
    <x v="1"/>
    <x v="0"/>
  </r>
  <r>
    <x v="80"/>
    <x v="3"/>
    <s v="Wearables"/>
    <x v="4"/>
    <x v="39"/>
    <s v="Seed"/>
    <n v="514000"/>
    <d v="2020-04-28T00:00:00"/>
    <x v="4"/>
    <s v="April"/>
    <n v="4"/>
    <x v="0"/>
    <x v="0"/>
    <x v="3"/>
  </r>
  <r>
    <x v="15"/>
    <x v="10"/>
    <s v="Diagnostics"/>
    <x v="5"/>
    <x v="64"/>
    <s v="Series C"/>
    <n v="67366000"/>
    <d v="2024-05-15T00:00:00"/>
    <x v="3"/>
    <s v="May"/>
    <n v="5"/>
    <x v="2"/>
    <x v="2"/>
    <x v="0"/>
  </r>
  <r>
    <x v="137"/>
    <x v="6"/>
    <s v="Food Delivery"/>
    <x v="5"/>
    <x v="212"/>
    <s v="Pre-Series A"/>
    <n v="196000"/>
    <d v="2020-03-18T00:00:00"/>
    <x v="4"/>
    <s v="March"/>
    <n v="3"/>
    <x v="1"/>
    <x v="0"/>
    <x v="1"/>
  </r>
  <r>
    <x v="133"/>
    <x v="5"/>
    <s v="Fashion"/>
    <x v="3"/>
    <x v="213"/>
    <s v="Pre-Seed"/>
    <n v="43000"/>
    <d v="2020-01-09T00:00:00"/>
    <x v="4"/>
    <s v="January"/>
    <n v="1"/>
    <x v="0"/>
    <x v="0"/>
    <x v="1"/>
  </r>
  <r>
    <x v="61"/>
    <x v="6"/>
    <s v="Grocery"/>
    <x v="6"/>
    <x v="47"/>
    <s v="Seed"/>
    <n v="598000"/>
    <d v="2020-05-13T00:00:00"/>
    <x v="4"/>
    <s v="May"/>
    <n v="5"/>
    <x v="0"/>
    <x v="0"/>
    <x v="1"/>
  </r>
  <r>
    <x v="95"/>
    <x v="3"/>
    <s v="Smart Home"/>
    <x v="8"/>
    <x v="214"/>
    <s v="Series A"/>
    <n v="7671000"/>
    <d v="2021-11-22T00:00:00"/>
    <x v="2"/>
    <s v="November"/>
    <n v="11"/>
    <x v="1"/>
    <x v="1"/>
    <x v="3"/>
  </r>
  <r>
    <x v="87"/>
    <x v="3"/>
    <s v="Wearables"/>
    <x v="3"/>
    <x v="215"/>
    <s v="Seed"/>
    <n v="927000"/>
    <d v="2025-01-31T00:00:00"/>
    <x v="1"/>
    <s v="January"/>
    <n v="1"/>
    <x v="0"/>
    <x v="0"/>
    <x v="3"/>
  </r>
  <r>
    <x v="68"/>
    <x v="7"/>
    <s v="NeoBank"/>
    <x v="8"/>
    <x v="216"/>
    <s v="Seed"/>
    <n v="920000"/>
    <d v="2022-01-20T00:00:00"/>
    <x v="5"/>
    <s v="January"/>
    <n v="1"/>
    <x v="0"/>
    <x v="0"/>
    <x v="4"/>
  </r>
  <r>
    <x v="82"/>
    <x v="12"/>
    <s v="Supply Chain"/>
    <x v="6"/>
    <x v="18"/>
    <s v="Debt"/>
    <n v="176000"/>
    <d v="2023-09-17T00:00:00"/>
    <x v="0"/>
    <s v="September"/>
    <n v="9"/>
    <x v="2"/>
    <x v="0"/>
    <x v="2"/>
  </r>
  <r>
    <x v="142"/>
    <x v="13"/>
    <s v="Fashion"/>
    <x v="5"/>
    <x v="61"/>
    <s v="Pre-Series A"/>
    <n v="312000"/>
    <d v="2023-01-25T00:00:00"/>
    <x v="0"/>
    <s v="January"/>
    <n v="1"/>
    <x v="1"/>
    <x v="0"/>
    <x v="1"/>
  </r>
  <r>
    <x v="8"/>
    <x v="4"/>
    <s v="Rental Tech"/>
    <x v="1"/>
    <x v="110"/>
    <s v="Seed"/>
    <n v="62000"/>
    <d v="2023-09-17T00:00:00"/>
    <x v="0"/>
    <s v="September"/>
    <n v="9"/>
    <x v="0"/>
    <x v="0"/>
    <x v="2"/>
  </r>
  <r>
    <x v="38"/>
    <x v="1"/>
    <s v="Social"/>
    <x v="9"/>
    <x v="195"/>
    <s v="Series D"/>
    <n v="177214000"/>
    <d v="2020-08-02T00:00:00"/>
    <x v="4"/>
    <s v="August"/>
    <n v="8"/>
    <x v="2"/>
    <x v="3"/>
    <x v="1"/>
  </r>
  <r>
    <x v="44"/>
    <x v="5"/>
    <s v="E-Retail"/>
    <x v="5"/>
    <x v="69"/>
    <s v="Seed"/>
    <n v="255000"/>
    <d v="2021-02-13T00:00:00"/>
    <x v="2"/>
    <s v="February"/>
    <n v="2"/>
    <x v="0"/>
    <x v="0"/>
    <x v="1"/>
  </r>
  <r>
    <x v="103"/>
    <x v="6"/>
    <s v="Food Delivery"/>
    <x v="4"/>
    <x v="110"/>
    <s v="Pre-Seed"/>
    <n v="154000"/>
    <d v="2022-10-13T00:00:00"/>
    <x v="5"/>
    <s v="October"/>
    <n v="10"/>
    <x v="0"/>
    <x v="0"/>
    <x v="1"/>
  </r>
  <r>
    <x v="62"/>
    <x v="7"/>
    <s v="Payments"/>
    <x v="0"/>
    <x v="131"/>
    <s v="Angel"/>
    <n v="14000"/>
    <d v="2024-09-06T00:00:00"/>
    <x v="3"/>
    <s v="September"/>
    <n v="9"/>
    <x v="0"/>
    <x v="0"/>
    <x v="4"/>
  </r>
  <r>
    <x v="30"/>
    <x v="5"/>
    <s v="Fashion"/>
    <x v="0"/>
    <x v="18"/>
    <s v="Series B"/>
    <n v="6917000"/>
    <d v="2020-07-26T00:00:00"/>
    <x v="4"/>
    <s v="July"/>
    <n v="7"/>
    <x v="1"/>
    <x v="1"/>
    <x v="1"/>
  </r>
  <r>
    <x v="143"/>
    <x v="9"/>
    <s v="Supply Chain"/>
    <x v="5"/>
    <x v="1"/>
    <s v="Seed"/>
    <n v="85000"/>
    <d v="2024-07-23T00:00:00"/>
    <x v="3"/>
    <s v="July"/>
    <n v="7"/>
    <x v="0"/>
    <x v="0"/>
    <x v="2"/>
  </r>
  <r>
    <x v="95"/>
    <x v="8"/>
    <s v="HRTech"/>
    <x v="9"/>
    <x v="29"/>
    <s v="Series B"/>
    <n v="41297000"/>
    <d v="2020-07-13T00:00:00"/>
    <x v="4"/>
    <s v="July"/>
    <n v="7"/>
    <x v="1"/>
    <x v="2"/>
    <x v="3"/>
  </r>
  <r>
    <x v="92"/>
    <x v="10"/>
    <s v="Pharmacy"/>
    <x v="7"/>
    <x v="217"/>
    <s v="Angel"/>
    <n v="32000"/>
    <d v="2025-05-10T00:00:00"/>
    <x v="1"/>
    <s v="May"/>
    <n v="5"/>
    <x v="0"/>
    <x v="0"/>
    <x v="0"/>
  </r>
  <r>
    <x v="141"/>
    <x v="10"/>
    <s v="Telemedicine"/>
    <x v="9"/>
    <x v="69"/>
    <s v="Pre-Series A"/>
    <n v="126000"/>
    <d v="2022-07-23T00:00:00"/>
    <x v="5"/>
    <s v="July"/>
    <n v="7"/>
    <x v="1"/>
    <x v="0"/>
    <x v="0"/>
  </r>
  <r>
    <x v="144"/>
    <x v="4"/>
    <s v="PropTech"/>
    <x v="0"/>
    <x v="6"/>
    <s v="Seed"/>
    <n v="68000"/>
    <d v="2024-01-27T00:00:00"/>
    <x v="3"/>
    <s v="January"/>
    <n v="1"/>
    <x v="0"/>
    <x v="0"/>
    <x v="2"/>
  </r>
  <r>
    <x v="13"/>
    <x v="12"/>
    <s v="Smart Farming"/>
    <x v="6"/>
    <x v="14"/>
    <s v="Series B"/>
    <n v="34916000"/>
    <d v="2021-01-06T00:00:00"/>
    <x v="2"/>
    <s v="January"/>
    <n v="1"/>
    <x v="1"/>
    <x v="2"/>
    <x v="2"/>
  </r>
  <r>
    <x v="145"/>
    <x v="11"/>
    <s v="Automation"/>
    <x v="4"/>
    <x v="138"/>
    <s v="Series A"/>
    <n v="1218000"/>
    <d v="2022-09-26T00:00:00"/>
    <x v="5"/>
    <s v="September"/>
    <n v="9"/>
    <x v="1"/>
    <x v="1"/>
    <x v="3"/>
  </r>
  <r>
    <x v="60"/>
    <x v="7"/>
    <s v="Payments"/>
    <x v="2"/>
    <x v="218"/>
    <s v="Series B"/>
    <n v="48819000"/>
    <d v="2020-01-26T00:00:00"/>
    <x v="4"/>
    <s v="January"/>
    <n v="1"/>
    <x v="1"/>
    <x v="2"/>
    <x v="4"/>
  </r>
  <r>
    <x v="111"/>
    <x v="4"/>
    <s v="Home Services"/>
    <x v="8"/>
    <x v="219"/>
    <s v="Series A"/>
    <n v="6770000"/>
    <d v="2023-12-05T00:00:00"/>
    <x v="0"/>
    <s v="December"/>
    <n v="12"/>
    <x v="1"/>
    <x v="1"/>
    <x v="2"/>
  </r>
  <r>
    <x v="10"/>
    <x v="4"/>
    <s v="Rental Tech"/>
    <x v="9"/>
    <x v="112"/>
    <s v="Seed"/>
    <n v="67000"/>
    <d v="2024-08-19T00:00:00"/>
    <x v="3"/>
    <s v="August"/>
    <n v="8"/>
    <x v="0"/>
    <x v="0"/>
    <x v="2"/>
  </r>
  <r>
    <x v="139"/>
    <x v="10"/>
    <s v="Health Analytics"/>
    <x v="5"/>
    <x v="103"/>
    <s v="Growth"/>
    <n v="62547000"/>
    <d v="2020-06-02T00:00:00"/>
    <x v="4"/>
    <s v="June"/>
    <n v="6"/>
    <x v="2"/>
    <x v="2"/>
    <x v="0"/>
  </r>
  <r>
    <x v="146"/>
    <x v="0"/>
    <s v="Coding Bootcamp"/>
    <x v="9"/>
    <x v="220"/>
    <s v="Series C"/>
    <n v="289340000"/>
    <d v="2020-06-10T00:00:00"/>
    <x v="4"/>
    <s v="June"/>
    <n v="6"/>
    <x v="2"/>
    <x v="3"/>
    <x v="0"/>
  </r>
  <r>
    <x v="46"/>
    <x v="11"/>
    <s v="Security"/>
    <x v="5"/>
    <x v="221"/>
    <s v="Seed"/>
    <n v="199000"/>
    <d v="2022-10-15T00:00:00"/>
    <x v="5"/>
    <s v="October"/>
    <n v="10"/>
    <x v="0"/>
    <x v="0"/>
    <x v="3"/>
  </r>
  <r>
    <x v="7"/>
    <x v="11"/>
    <s v="Analytics"/>
    <x v="6"/>
    <x v="138"/>
    <s v="Bridge"/>
    <n v="196000"/>
    <d v="2023-07-29T00:00:00"/>
    <x v="0"/>
    <s v="July"/>
    <n v="7"/>
    <x v="1"/>
    <x v="0"/>
    <x v="3"/>
  </r>
  <r>
    <x v="11"/>
    <x v="3"/>
    <s v="Wearables"/>
    <x v="7"/>
    <x v="69"/>
    <s v="Series C"/>
    <n v="180699000"/>
    <d v="2024-07-30T00:00:00"/>
    <x v="3"/>
    <s v="July"/>
    <n v="7"/>
    <x v="2"/>
    <x v="3"/>
    <x v="3"/>
  </r>
  <r>
    <x v="78"/>
    <x v="12"/>
    <s v="Marketplace"/>
    <x v="5"/>
    <x v="222"/>
    <s v="Series B"/>
    <n v="69115000"/>
    <d v="2022-01-14T00:00:00"/>
    <x v="5"/>
    <s v="January"/>
    <n v="1"/>
    <x v="1"/>
    <x v="2"/>
    <x v="2"/>
  </r>
  <r>
    <x v="7"/>
    <x v="8"/>
    <s v="HRTech"/>
    <x v="2"/>
    <x v="223"/>
    <s v="Series A"/>
    <n v="14442000"/>
    <d v="2022-02-04T00:00:00"/>
    <x v="5"/>
    <s v="February"/>
    <n v="2"/>
    <x v="1"/>
    <x v="2"/>
    <x v="3"/>
  </r>
  <r>
    <x v="20"/>
    <x v="13"/>
    <s v="D2C"/>
    <x v="6"/>
    <x v="224"/>
    <s v="Seed"/>
    <n v="805000"/>
    <d v="2020-09-04T00:00:00"/>
    <x v="4"/>
    <s v="September"/>
    <n v="9"/>
    <x v="0"/>
    <x v="0"/>
    <x v="1"/>
  </r>
  <r>
    <x v="86"/>
    <x v="13"/>
    <s v="Fashion"/>
    <x v="1"/>
    <x v="225"/>
    <s v="Angel"/>
    <n v="15000"/>
    <d v="2024-09-11T00:00:00"/>
    <x v="3"/>
    <s v="September"/>
    <n v="9"/>
    <x v="0"/>
    <x v="0"/>
    <x v="1"/>
  </r>
  <r>
    <x v="12"/>
    <x v="10"/>
    <s v="Health Analytics"/>
    <x v="1"/>
    <x v="134"/>
    <s v="Series A"/>
    <n v="1254000"/>
    <d v="2020-04-09T00:00:00"/>
    <x v="4"/>
    <s v="April"/>
    <n v="4"/>
    <x v="1"/>
    <x v="1"/>
    <x v="0"/>
  </r>
  <r>
    <x v="62"/>
    <x v="5"/>
    <s v="E-Retail"/>
    <x v="6"/>
    <x v="17"/>
    <s v="Seed"/>
    <n v="879000"/>
    <d v="2024-07-27T00:00:00"/>
    <x v="3"/>
    <s v="July"/>
    <n v="7"/>
    <x v="0"/>
    <x v="0"/>
    <x v="1"/>
  </r>
  <r>
    <x v="99"/>
    <x v="6"/>
    <s v="Food Delivery"/>
    <x v="6"/>
    <x v="47"/>
    <s v="Angel"/>
    <n v="27000"/>
    <d v="2024-04-10T00:00:00"/>
    <x v="3"/>
    <s v="April"/>
    <n v="4"/>
    <x v="0"/>
    <x v="0"/>
    <x v="1"/>
  </r>
  <r>
    <x v="87"/>
    <x v="3"/>
    <s v="Audio"/>
    <x v="4"/>
    <x v="226"/>
    <s v="Pre-Series A"/>
    <n v="266000"/>
    <d v="2023-12-04T00:00:00"/>
    <x v="0"/>
    <s v="December"/>
    <n v="12"/>
    <x v="1"/>
    <x v="0"/>
    <x v="3"/>
  </r>
  <r>
    <x v="25"/>
    <x v="2"/>
    <s v="Micro Mobility"/>
    <x v="3"/>
    <x v="227"/>
    <s v="Seed"/>
    <n v="1416000"/>
    <d v="2023-07-02T00:00:00"/>
    <x v="0"/>
    <s v="July"/>
    <n v="7"/>
    <x v="0"/>
    <x v="1"/>
    <x v="2"/>
  </r>
  <r>
    <x v="21"/>
    <x v="1"/>
    <s v="Streaming"/>
    <x v="7"/>
    <x v="41"/>
    <s v="Series B"/>
    <n v="6806000"/>
    <d v="2024-04-07T00:00:00"/>
    <x v="3"/>
    <s v="April"/>
    <n v="4"/>
    <x v="1"/>
    <x v="1"/>
    <x v="1"/>
  </r>
  <r>
    <x v="104"/>
    <x v="11"/>
    <s v="Automation"/>
    <x v="2"/>
    <x v="13"/>
    <s v="Growth"/>
    <n v="183477000"/>
    <d v="2022-05-15T00:00:00"/>
    <x v="5"/>
    <s v="May"/>
    <n v="5"/>
    <x v="2"/>
    <x v="3"/>
    <x v="3"/>
  </r>
  <r>
    <x v="79"/>
    <x v="7"/>
    <s v="Payments"/>
    <x v="3"/>
    <x v="6"/>
    <s v="Seed"/>
    <n v="52000"/>
    <d v="2024-05-27T00:00:00"/>
    <x v="3"/>
    <s v="May"/>
    <n v="5"/>
    <x v="0"/>
    <x v="0"/>
    <x v="4"/>
  </r>
  <r>
    <x v="74"/>
    <x v="7"/>
    <s v="WealthTech"/>
    <x v="3"/>
    <x v="69"/>
    <s v="Series C"/>
    <n v="71157000"/>
    <d v="2020-03-07T00:00:00"/>
    <x v="4"/>
    <s v="March"/>
    <n v="3"/>
    <x v="2"/>
    <x v="2"/>
    <x v="4"/>
  </r>
  <r>
    <x v="14"/>
    <x v="12"/>
    <s v="Marketplace"/>
    <x v="8"/>
    <x v="228"/>
    <s v="Growth"/>
    <n v="58010000"/>
    <d v="2024-02-29T00:00:00"/>
    <x v="3"/>
    <s v="February"/>
    <n v="2"/>
    <x v="2"/>
    <x v="2"/>
    <x v="2"/>
  </r>
  <r>
    <x v="29"/>
    <x v="7"/>
    <s v="InsurTech"/>
    <x v="9"/>
    <x v="229"/>
    <s v="Pre-Series A"/>
    <n v="131000"/>
    <d v="2024-06-02T00:00:00"/>
    <x v="3"/>
    <s v="June"/>
    <n v="6"/>
    <x v="1"/>
    <x v="0"/>
    <x v="4"/>
  </r>
  <r>
    <x v="74"/>
    <x v="11"/>
    <s v="Security"/>
    <x v="3"/>
    <x v="230"/>
    <s v="Angel"/>
    <n v="7000"/>
    <d v="2023-12-14T00:00:00"/>
    <x v="0"/>
    <s v="December"/>
    <n v="12"/>
    <x v="0"/>
    <x v="0"/>
    <x v="3"/>
  </r>
  <r>
    <x v="127"/>
    <x v="0"/>
    <s v="UpSkilling"/>
    <x v="5"/>
    <x v="7"/>
    <s v="Seed"/>
    <n v="548000"/>
    <d v="2023-10-30T00:00:00"/>
    <x v="0"/>
    <s v="October"/>
    <n v="10"/>
    <x v="0"/>
    <x v="0"/>
    <x v="0"/>
  </r>
  <r>
    <x v="113"/>
    <x v="1"/>
    <s v="Streaming"/>
    <x v="0"/>
    <x v="41"/>
    <s v="Pre-Series A"/>
    <n v="557000"/>
    <d v="2022-05-27T00:00:00"/>
    <x v="5"/>
    <s v="May"/>
    <n v="5"/>
    <x v="1"/>
    <x v="0"/>
    <x v="1"/>
  </r>
  <r>
    <x v="68"/>
    <x v="11"/>
    <s v="Security"/>
    <x v="1"/>
    <x v="19"/>
    <s v="Seed"/>
    <n v="430000"/>
    <d v="2023-12-24T00:00:00"/>
    <x v="0"/>
    <s v="December"/>
    <n v="12"/>
    <x v="0"/>
    <x v="0"/>
    <x v="3"/>
  </r>
  <r>
    <x v="99"/>
    <x v="5"/>
    <s v="Fashion"/>
    <x v="6"/>
    <x v="170"/>
    <s v="Series D"/>
    <n v="458292000"/>
    <d v="2021-09-08T00:00:00"/>
    <x v="2"/>
    <s v="September"/>
    <n v="9"/>
    <x v="2"/>
    <x v="3"/>
    <x v="1"/>
  </r>
  <r>
    <x v="1"/>
    <x v="5"/>
    <s v="Fashion"/>
    <x v="7"/>
    <x v="13"/>
    <s v="Series A"/>
    <n v="2760000"/>
    <d v="2025-05-13T00:00:00"/>
    <x v="1"/>
    <s v="May"/>
    <n v="5"/>
    <x v="1"/>
    <x v="1"/>
    <x v="1"/>
  </r>
  <r>
    <x v="12"/>
    <x v="10"/>
    <s v="Health Analytics"/>
    <x v="8"/>
    <x v="0"/>
    <s v="Series A"/>
    <n v="2168000"/>
    <d v="2020-07-07T00:00:00"/>
    <x v="4"/>
    <s v="July"/>
    <n v="7"/>
    <x v="1"/>
    <x v="1"/>
    <x v="0"/>
  </r>
  <r>
    <x v="130"/>
    <x v="4"/>
    <s v="Home Services"/>
    <x v="7"/>
    <x v="105"/>
    <s v="Pre-Series A"/>
    <n v="739000"/>
    <d v="2021-03-23T00:00:00"/>
    <x v="2"/>
    <s v="March"/>
    <n v="3"/>
    <x v="1"/>
    <x v="0"/>
    <x v="2"/>
  </r>
  <r>
    <x v="139"/>
    <x v="8"/>
    <s v="MarTech"/>
    <x v="3"/>
    <x v="136"/>
    <s v="Angel"/>
    <n v="10000"/>
    <d v="2023-06-10T00:00:00"/>
    <x v="0"/>
    <s v="June"/>
    <n v="6"/>
    <x v="0"/>
    <x v="0"/>
    <x v="3"/>
  </r>
  <r>
    <x v="99"/>
    <x v="5"/>
    <s v="E-Retail"/>
    <x v="9"/>
    <x v="29"/>
    <s v="Seed"/>
    <n v="1746000"/>
    <d v="2024-01-22T00:00:00"/>
    <x v="3"/>
    <s v="January"/>
    <n v="1"/>
    <x v="0"/>
    <x v="1"/>
    <x v="1"/>
  </r>
  <r>
    <x v="141"/>
    <x v="2"/>
    <s v="EV"/>
    <x v="5"/>
    <x v="231"/>
    <s v="Pre-Seed"/>
    <n v="21000"/>
    <d v="2025-01-13T00:00:00"/>
    <x v="1"/>
    <s v="January"/>
    <n v="1"/>
    <x v="0"/>
    <x v="0"/>
    <x v="2"/>
  </r>
  <r>
    <x v="53"/>
    <x v="5"/>
    <s v="Fashion"/>
    <x v="8"/>
    <x v="110"/>
    <s v="Pre-Seed"/>
    <n v="187000"/>
    <d v="2020-05-14T00:00:00"/>
    <x v="4"/>
    <s v="May"/>
    <n v="5"/>
    <x v="0"/>
    <x v="0"/>
    <x v="1"/>
  </r>
  <r>
    <x v="130"/>
    <x v="11"/>
    <s v="Automation"/>
    <x v="9"/>
    <x v="232"/>
    <s v="Series D"/>
    <n v="55224000"/>
    <d v="2021-02-25T00:00:00"/>
    <x v="2"/>
    <s v="February"/>
    <n v="2"/>
    <x v="2"/>
    <x v="2"/>
    <x v="3"/>
  </r>
  <r>
    <x v="137"/>
    <x v="13"/>
    <s v="Marketplace"/>
    <x v="1"/>
    <x v="17"/>
    <s v="Series A"/>
    <n v="11170000"/>
    <d v="2021-11-10T00:00:00"/>
    <x v="2"/>
    <s v="November"/>
    <n v="11"/>
    <x v="1"/>
    <x v="2"/>
    <x v="1"/>
  </r>
  <r>
    <x v="3"/>
    <x v="10"/>
    <s v="Pharmacy"/>
    <x v="8"/>
    <x v="138"/>
    <s v="Seed"/>
    <n v="350000"/>
    <d v="2024-08-09T00:00:00"/>
    <x v="3"/>
    <s v="August"/>
    <n v="8"/>
    <x v="0"/>
    <x v="0"/>
    <x v="0"/>
  </r>
  <r>
    <x v="20"/>
    <x v="6"/>
    <s v="Food Delivery"/>
    <x v="9"/>
    <x v="233"/>
    <s v="Series A"/>
    <n v="14717000"/>
    <d v="2020-02-04T00:00:00"/>
    <x v="4"/>
    <s v="February"/>
    <n v="2"/>
    <x v="1"/>
    <x v="2"/>
    <x v="1"/>
  </r>
  <r>
    <x v="128"/>
    <x v="5"/>
    <s v="Fashion"/>
    <x v="6"/>
    <x v="14"/>
    <s v="Pre-Seed"/>
    <n v="24000"/>
    <d v="2024-10-03T00:00:00"/>
    <x v="3"/>
    <s v="October"/>
    <n v="10"/>
    <x v="0"/>
    <x v="0"/>
    <x v="1"/>
  </r>
  <r>
    <x v="69"/>
    <x v="5"/>
    <s v="Fashion"/>
    <x v="2"/>
    <x v="22"/>
    <s v="Series A"/>
    <n v="4481000"/>
    <d v="2021-07-30T00:00:00"/>
    <x v="2"/>
    <s v="July"/>
    <n v="7"/>
    <x v="1"/>
    <x v="1"/>
    <x v="1"/>
  </r>
  <r>
    <x v="145"/>
    <x v="3"/>
    <s v="Audio"/>
    <x v="8"/>
    <x v="234"/>
    <s v="Seed"/>
    <n v="1786000"/>
    <d v="2024-03-09T00:00:00"/>
    <x v="3"/>
    <s v="March"/>
    <n v="3"/>
    <x v="0"/>
    <x v="1"/>
    <x v="3"/>
  </r>
  <r>
    <x v="131"/>
    <x v="4"/>
    <s v="PropTech"/>
    <x v="2"/>
    <x v="235"/>
    <s v="Series B"/>
    <n v="21323000"/>
    <d v="2025-02-15T00:00:00"/>
    <x v="1"/>
    <s v="February"/>
    <n v="2"/>
    <x v="1"/>
    <x v="2"/>
    <x v="2"/>
  </r>
  <r>
    <x v="134"/>
    <x v="7"/>
    <s v="NeoBank"/>
    <x v="6"/>
    <x v="47"/>
    <s v="Pre-Series A"/>
    <n v="426000"/>
    <d v="2023-01-26T00:00:00"/>
    <x v="0"/>
    <s v="January"/>
    <n v="1"/>
    <x v="1"/>
    <x v="0"/>
    <x v="4"/>
  </r>
  <r>
    <x v="116"/>
    <x v="4"/>
    <s v="Rental Tech"/>
    <x v="4"/>
    <x v="224"/>
    <s v="Seed"/>
    <n v="651000"/>
    <d v="2021-03-28T00:00:00"/>
    <x v="2"/>
    <s v="March"/>
    <n v="3"/>
    <x v="0"/>
    <x v="0"/>
    <x v="2"/>
  </r>
  <r>
    <x v="80"/>
    <x v="12"/>
    <s v="Supply Chain"/>
    <x v="8"/>
    <x v="47"/>
    <s v="Series A"/>
    <n v="3424000"/>
    <d v="2023-01-30T00:00:00"/>
    <x v="0"/>
    <s v="January"/>
    <n v="1"/>
    <x v="1"/>
    <x v="1"/>
    <x v="2"/>
  </r>
  <r>
    <x v="63"/>
    <x v="9"/>
    <s v="Last Mile"/>
    <x v="3"/>
    <x v="14"/>
    <s v="Series B"/>
    <n v="28486000"/>
    <d v="2022-09-24T00:00:00"/>
    <x v="5"/>
    <s v="September"/>
    <n v="9"/>
    <x v="1"/>
    <x v="2"/>
    <x v="2"/>
  </r>
  <r>
    <x v="6"/>
    <x v="12"/>
    <s v="Supply Chain"/>
    <x v="3"/>
    <x v="18"/>
    <s v="Seed"/>
    <n v="432000"/>
    <d v="2022-07-11T00:00:00"/>
    <x v="5"/>
    <s v="July"/>
    <n v="7"/>
    <x v="0"/>
    <x v="0"/>
    <x v="2"/>
  </r>
  <r>
    <x v="140"/>
    <x v="1"/>
    <s v="Streaming"/>
    <x v="4"/>
    <x v="65"/>
    <s v="Series A"/>
    <n v="11477000"/>
    <d v="2022-01-16T00:00:00"/>
    <x v="5"/>
    <s v="January"/>
    <n v="1"/>
    <x v="1"/>
    <x v="2"/>
    <x v="1"/>
  </r>
  <r>
    <x v="83"/>
    <x v="7"/>
    <s v="WealthTech"/>
    <x v="3"/>
    <x v="236"/>
    <s v="Series C"/>
    <n v="22619000"/>
    <d v="2023-12-29T00:00:00"/>
    <x v="0"/>
    <s v="December"/>
    <n v="12"/>
    <x v="2"/>
    <x v="2"/>
    <x v="4"/>
  </r>
  <r>
    <x v="78"/>
    <x v="3"/>
    <s v="Wearables"/>
    <x v="7"/>
    <x v="237"/>
    <s v="Series C"/>
    <n v="42802000"/>
    <d v="2022-09-24T00:00:00"/>
    <x v="5"/>
    <s v="September"/>
    <n v="9"/>
    <x v="2"/>
    <x v="2"/>
    <x v="3"/>
  </r>
  <r>
    <x v="89"/>
    <x v="11"/>
    <s v="Analytics"/>
    <x v="8"/>
    <x v="238"/>
    <s v="Seed"/>
    <n v="1666000"/>
    <d v="2024-02-11T00:00:00"/>
    <x v="3"/>
    <s v="February"/>
    <n v="2"/>
    <x v="0"/>
    <x v="1"/>
    <x v="3"/>
  </r>
  <r>
    <x v="12"/>
    <x v="4"/>
    <s v="PropTech"/>
    <x v="6"/>
    <x v="215"/>
    <s v="Series A"/>
    <n v="11144000"/>
    <d v="2024-04-24T00:00:00"/>
    <x v="3"/>
    <s v="April"/>
    <n v="4"/>
    <x v="1"/>
    <x v="2"/>
    <x v="2"/>
  </r>
  <r>
    <x v="24"/>
    <x v="2"/>
    <s v="Micro Mobility"/>
    <x v="5"/>
    <x v="86"/>
    <s v="Series B"/>
    <n v="17686000"/>
    <d v="2020-10-31T00:00:00"/>
    <x v="4"/>
    <s v="October"/>
    <n v="10"/>
    <x v="1"/>
    <x v="2"/>
    <x v="2"/>
  </r>
  <r>
    <x v="95"/>
    <x v="10"/>
    <s v="Health Analytics"/>
    <x v="8"/>
    <x v="13"/>
    <s v="Series A"/>
    <n v="5362000"/>
    <d v="2022-03-23T00:00:00"/>
    <x v="5"/>
    <s v="March"/>
    <n v="3"/>
    <x v="1"/>
    <x v="1"/>
    <x v="0"/>
  </r>
  <r>
    <x v="43"/>
    <x v="5"/>
    <s v="Fashion"/>
    <x v="4"/>
    <x v="239"/>
    <s v="Series C"/>
    <n v="42389000"/>
    <d v="2020-10-14T00:00:00"/>
    <x v="4"/>
    <s v="October"/>
    <n v="10"/>
    <x v="2"/>
    <x v="2"/>
    <x v="1"/>
  </r>
  <r>
    <x v="65"/>
    <x v="3"/>
    <s v="Wearables"/>
    <x v="1"/>
    <x v="19"/>
    <s v="Seed"/>
    <n v="100000"/>
    <d v="2022-09-25T00:00:00"/>
    <x v="5"/>
    <s v="September"/>
    <n v="9"/>
    <x v="0"/>
    <x v="0"/>
    <x v="3"/>
  </r>
  <r>
    <x v="48"/>
    <x v="0"/>
    <s v="Test Prep"/>
    <x v="3"/>
    <x v="86"/>
    <s v="Series A"/>
    <n v="3510000"/>
    <d v="2024-06-08T00:00:00"/>
    <x v="3"/>
    <s v="June"/>
    <n v="6"/>
    <x v="1"/>
    <x v="1"/>
    <x v="0"/>
  </r>
  <r>
    <x v="143"/>
    <x v="7"/>
    <s v="WealthTech"/>
    <x v="0"/>
    <x v="240"/>
    <s v="Series B"/>
    <n v="13318000"/>
    <d v="2022-12-03T00:00:00"/>
    <x v="5"/>
    <s v="December"/>
    <n v="12"/>
    <x v="1"/>
    <x v="2"/>
    <x v="4"/>
  </r>
  <r>
    <x v="113"/>
    <x v="6"/>
    <s v="Grocery"/>
    <x v="9"/>
    <x v="13"/>
    <s v="Pre-Series A"/>
    <n v="383000"/>
    <d v="2023-08-31T00:00:00"/>
    <x v="0"/>
    <s v="August"/>
    <n v="8"/>
    <x v="1"/>
    <x v="0"/>
    <x v="1"/>
  </r>
  <r>
    <x v="45"/>
    <x v="0"/>
    <s v="Coding Bootcamp"/>
    <x v="7"/>
    <x v="241"/>
    <s v="Series C"/>
    <n v="24686000"/>
    <d v="2021-12-07T00:00:00"/>
    <x v="2"/>
    <s v="December"/>
    <n v="12"/>
    <x v="2"/>
    <x v="2"/>
    <x v="0"/>
  </r>
  <r>
    <x v="147"/>
    <x v="10"/>
    <s v="Health Analytics"/>
    <x v="4"/>
    <x v="242"/>
    <s v="Seed"/>
    <n v="1820000"/>
    <d v="2022-11-19T00:00:00"/>
    <x v="5"/>
    <s v="November"/>
    <n v="11"/>
    <x v="0"/>
    <x v="1"/>
    <x v="0"/>
  </r>
  <r>
    <x v="0"/>
    <x v="4"/>
    <s v="PropTech"/>
    <x v="9"/>
    <x v="61"/>
    <s v="Series C"/>
    <n v="289004000"/>
    <d v="2024-01-15T00:00:00"/>
    <x v="3"/>
    <s v="January"/>
    <n v="1"/>
    <x v="2"/>
    <x v="3"/>
    <x v="2"/>
  </r>
  <r>
    <x v="144"/>
    <x v="12"/>
    <s v="Supply Chain"/>
    <x v="9"/>
    <x v="41"/>
    <s v="Pre-Seed"/>
    <n v="100000"/>
    <d v="2020-03-29T00:00:00"/>
    <x v="4"/>
    <s v="March"/>
    <n v="3"/>
    <x v="0"/>
    <x v="0"/>
    <x v="2"/>
  </r>
  <r>
    <x v="93"/>
    <x v="10"/>
    <s v="Telemedicine"/>
    <x v="6"/>
    <x v="138"/>
    <s v="Seed"/>
    <n v="361000"/>
    <d v="2020-12-06T00:00:00"/>
    <x v="4"/>
    <s v="December"/>
    <n v="12"/>
    <x v="0"/>
    <x v="0"/>
    <x v="0"/>
  </r>
  <r>
    <x v="58"/>
    <x v="12"/>
    <s v="Marketplace"/>
    <x v="1"/>
    <x v="243"/>
    <s v="Growth"/>
    <n v="113169000"/>
    <d v="2024-01-30T00:00:00"/>
    <x v="3"/>
    <s v="January"/>
    <n v="1"/>
    <x v="2"/>
    <x v="3"/>
    <x v="2"/>
  </r>
  <r>
    <x v="106"/>
    <x v="10"/>
    <s v="Diagnostics"/>
    <x v="9"/>
    <x v="244"/>
    <s v="Series A"/>
    <n v="9059000"/>
    <d v="2024-06-15T00:00:00"/>
    <x v="3"/>
    <s v="June"/>
    <n v="6"/>
    <x v="1"/>
    <x v="1"/>
    <x v="0"/>
  </r>
  <r>
    <x v="17"/>
    <x v="10"/>
    <s v="Pharmacy"/>
    <x v="5"/>
    <x v="14"/>
    <s v="Series A"/>
    <n v="6387000"/>
    <d v="2020-05-20T00:00:00"/>
    <x v="4"/>
    <s v="May"/>
    <n v="5"/>
    <x v="1"/>
    <x v="1"/>
    <x v="0"/>
  </r>
  <r>
    <x v="68"/>
    <x v="0"/>
    <s v="Coding Bootcamp"/>
    <x v="4"/>
    <x v="112"/>
    <s v="Series A"/>
    <n v="1553000"/>
    <d v="2020-12-29T00:00:00"/>
    <x v="4"/>
    <s v="December"/>
    <n v="12"/>
    <x v="1"/>
    <x v="1"/>
    <x v="0"/>
  </r>
  <r>
    <x v="69"/>
    <x v="13"/>
    <s v="Fashion"/>
    <x v="4"/>
    <x v="138"/>
    <s v="Angel"/>
    <n v="77000"/>
    <d v="2023-01-09T00:00:00"/>
    <x v="0"/>
    <s v="January"/>
    <n v="1"/>
    <x v="0"/>
    <x v="0"/>
    <x v="1"/>
  </r>
  <r>
    <x v="126"/>
    <x v="2"/>
    <s v="EV"/>
    <x v="7"/>
    <x v="245"/>
    <s v="Growth"/>
    <n v="438231000"/>
    <d v="2023-11-29T00:00:00"/>
    <x v="0"/>
    <s v="November"/>
    <n v="11"/>
    <x v="2"/>
    <x v="3"/>
    <x v="2"/>
  </r>
  <r>
    <x v="62"/>
    <x v="6"/>
    <s v="Food Delivery"/>
    <x v="6"/>
    <x v="246"/>
    <s v="Series C"/>
    <n v="261867000"/>
    <d v="2025-02-02T00:00:00"/>
    <x v="1"/>
    <s v="February"/>
    <n v="2"/>
    <x v="2"/>
    <x v="3"/>
    <x v="1"/>
  </r>
  <r>
    <x v="73"/>
    <x v="11"/>
    <s v="Analytics"/>
    <x v="2"/>
    <x v="76"/>
    <s v="Series A"/>
    <n v="7137000"/>
    <d v="2023-01-18T00:00:00"/>
    <x v="0"/>
    <s v="January"/>
    <n v="1"/>
    <x v="1"/>
    <x v="1"/>
    <x v="3"/>
  </r>
  <r>
    <x v="147"/>
    <x v="13"/>
    <s v="Grocery"/>
    <x v="1"/>
    <x v="247"/>
    <s v="Pre-Series A"/>
    <n v="411000"/>
    <d v="2021-02-24T00:00:00"/>
    <x v="2"/>
    <s v="February"/>
    <n v="2"/>
    <x v="1"/>
    <x v="0"/>
    <x v="1"/>
  </r>
  <r>
    <x v="40"/>
    <x v="9"/>
    <s v="Supply Chain"/>
    <x v="8"/>
    <x v="49"/>
    <s v="Pre-Series A"/>
    <n v="262000"/>
    <d v="2022-01-18T00:00:00"/>
    <x v="5"/>
    <s v="January"/>
    <n v="1"/>
    <x v="1"/>
    <x v="0"/>
    <x v="2"/>
  </r>
  <r>
    <x v="11"/>
    <x v="5"/>
    <s v="Fashion"/>
    <x v="5"/>
    <x v="62"/>
    <s v="Seed"/>
    <n v="1560000"/>
    <d v="2023-02-19T00:00:00"/>
    <x v="0"/>
    <s v="February"/>
    <n v="2"/>
    <x v="0"/>
    <x v="1"/>
    <x v="1"/>
  </r>
  <r>
    <x v="116"/>
    <x v="6"/>
    <s v="Grocery"/>
    <x v="4"/>
    <x v="98"/>
    <s v="Series D"/>
    <n v="367311000"/>
    <d v="2023-09-12T00:00:00"/>
    <x v="0"/>
    <s v="September"/>
    <n v="9"/>
    <x v="2"/>
    <x v="3"/>
    <x v="1"/>
  </r>
  <r>
    <x v="76"/>
    <x v="10"/>
    <s v="Telemedicine"/>
    <x v="3"/>
    <x v="4"/>
    <s v="Series A"/>
    <n v="1130000"/>
    <d v="2024-05-28T00:00:00"/>
    <x v="3"/>
    <s v="May"/>
    <n v="5"/>
    <x v="1"/>
    <x v="1"/>
    <x v="0"/>
  </r>
  <r>
    <x v="3"/>
    <x v="10"/>
    <s v="Health Analytics"/>
    <x v="1"/>
    <x v="61"/>
    <s v="Series C"/>
    <n v="21480000"/>
    <d v="2024-08-13T00:00:00"/>
    <x v="3"/>
    <s v="August"/>
    <n v="8"/>
    <x v="2"/>
    <x v="2"/>
    <x v="0"/>
  </r>
  <r>
    <x v="137"/>
    <x v="9"/>
    <s v="Last Mile"/>
    <x v="7"/>
    <x v="248"/>
    <s v="Seed"/>
    <n v="200000"/>
    <d v="2020-03-18T00:00:00"/>
    <x v="4"/>
    <s v="March"/>
    <n v="3"/>
    <x v="0"/>
    <x v="0"/>
    <x v="2"/>
  </r>
  <r>
    <x v="29"/>
    <x v="12"/>
    <s v="Supply Chain"/>
    <x v="4"/>
    <x v="0"/>
    <s v="Series B"/>
    <n v="47312000"/>
    <d v="2022-06-18T00:00:00"/>
    <x v="5"/>
    <s v="June"/>
    <n v="6"/>
    <x v="1"/>
    <x v="2"/>
    <x v="2"/>
  </r>
  <r>
    <x v="29"/>
    <x v="5"/>
    <s v="Fashion"/>
    <x v="8"/>
    <x v="249"/>
    <s v="Series A"/>
    <n v="14492000"/>
    <d v="2021-04-19T00:00:00"/>
    <x v="2"/>
    <s v="April"/>
    <n v="4"/>
    <x v="1"/>
    <x v="2"/>
    <x v="1"/>
  </r>
  <r>
    <x v="43"/>
    <x v="10"/>
    <s v="Telemedicine"/>
    <x v="2"/>
    <x v="250"/>
    <s v="Series C"/>
    <n v="30056000"/>
    <d v="2021-12-24T00:00:00"/>
    <x v="2"/>
    <s v="December"/>
    <n v="12"/>
    <x v="2"/>
    <x v="2"/>
    <x v="0"/>
  </r>
  <r>
    <x v="63"/>
    <x v="13"/>
    <s v="Grocery"/>
    <x v="2"/>
    <x v="251"/>
    <s v="Series B"/>
    <n v="25964000"/>
    <d v="2023-02-19T00:00:00"/>
    <x v="0"/>
    <s v="February"/>
    <n v="2"/>
    <x v="1"/>
    <x v="2"/>
    <x v="1"/>
  </r>
  <r>
    <x v="47"/>
    <x v="0"/>
    <s v="Coding Bootcamp"/>
    <x v="9"/>
    <x v="86"/>
    <s v="Series A"/>
    <n v="2805000"/>
    <d v="2021-06-18T00:00:00"/>
    <x v="2"/>
    <s v="June"/>
    <n v="6"/>
    <x v="1"/>
    <x v="1"/>
    <x v="0"/>
  </r>
  <r>
    <x v="4"/>
    <x v="2"/>
    <s v="EV"/>
    <x v="7"/>
    <x v="252"/>
    <s v="Bridge"/>
    <n v="1790000"/>
    <d v="2024-07-02T00:00:00"/>
    <x v="3"/>
    <s v="July"/>
    <n v="7"/>
    <x v="1"/>
    <x v="1"/>
    <x v="2"/>
  </r>
  <r>
    <x v="74"/>
    <x v="6"/>
    <s v="Grocery"/>
    <x v="5"/>
    <x v="65"/>
    <s v="Series C"/>
    <n v="195631000"/>
    <d v="2024-03-31T00:00:00"/>
    <x v="3"/>
    <s v="March"/>
    <n v="3"/>
    <x v="2"/>
    <x v="3"/>
    <x v="1"/>
  </r>
  <r>
    <x v="114"/>
    <x v="12"/>
    <s v="Supply Chain"/>
    <x v="5"/>
    <x v="253"/>
    <s v="Seed"/>
    <n v="1102000"/>
    <d v="2020-05-18T00:00:00"/>
    <x v="4"/>
    <s v="May"/>
    <n v="5"/>
    <x v="0"/>
    <x v="1"/>
    <x v="2"/>
  </r>
  <r>
    <x v="22"/>
    <x v="6"/>
    <s v="Food Delivery"/>
    <x v="8"/>
    <x v="57"/>
    <s v="Series A"/>
    <n v="3558000"/>
    <d v="2023-12-06T00:00:00"/>
    <x v="0"/>
    <s v="December"/>
    <n v="12"/>
    <x v="1"/>
    <x v="1"/>
    <x v="1"/>
  </r>
  <r>
    <x v="30"/>
    <x v="6"/>
    <s v="Grocery"/>
    <x v="7"/>
    <x v="61"/>
    <s v="Seed"/>
    <n v="231000"/>
    <d v="2025-03-22T00:00:00"/>
    <x v="1"/>
    <s v="March"/>
    <n v="3"/>
    <x v="0"/>
    <x v="0"/>
    <x v="1"/>
  </r>
  <r>
    <x v="37"/>
    <x v="12"/>
    <s v="Smart Farming"/>
    <x v="4"/>
    <x v="61"/>
    <s v="Bridge"/>
    <n v="137000"/>
    <d v="2023-10-31T00:00:00"/>
    <x v="0"/>
    <s v="October"/>
    <n v="10"/>
    <x v="1"/>
    <x v="0"/>
    <x v="2"/>
  </r>
  <r>
    <x v="103"/>
    <x v="0"/>
    <s v="UpSkilling"/>
    <x v="3"/>
    <x v="69"/>
    <s v="Seed"/>
    <n v="62000"/>
    <d v="2024-09-05T00:00:00"/>
    <x v="3"/>
    <s v="September"/>
    <n v="9"/>
    <x v="0"/>
    <x v="0"/>
    <x v="0"/>
  </r>
  <r>
    <x v="135"/>
    <x v="10"/>
    <s v="Telemedicine"/>
    <x v="0"/>
    <x v="254"/>
    <s v="Angel"/>
    <n v="67000"/>
    <d v="2023-10-16T00:00:00"/>
    <x v="0"/>
    <s v="October"/>
    <n v="10"/>
    <x v="0"/>
    <x v="0"/>
    <x v="0"/>
  </r>
  <r>
    <x v="55"/>
    <x v="11"/>
    <s v="Security"/>
    <x v="7"/>
    <x v="255"/>
    <s v="Series A"/>
    <n v="9037000"/>
    <d v="2022-10-05T00:00:00"/>
    <x v="5"/>
    <s v="October"/>
    <n v="10"/>
    <x v="1"/>
    <x v="1"/>
    <x v="3"/>
  </r>
  <r>
    <x v="23"/>
    <x v="5"/>
    <s v="Fashion"/>
    <x v="4"/>
    <x v="101"/>
    <s v="Seed"/>
    <n v="1998000"/>
    <d v="2024-06-24T00:00:00"/>
    <x v="3"/>
    <s v="June"/>
    <n v="6"/>
    <x v="0"/>
    <x v="1"/>
    <x v="1"/>
  </r>
  <r>
    <x v="69"/>
    <x v="11"/>
    <s v="Automation"/>
    <x v="4"/>
    <x v="256"/>
    <s v="Series A"/>
    <n v="14864000"/>
    <d v="2020-09-03T00:00:00"/>
    <x v="4"/>
    <s v="September"/>
    <n v="9"/>
    <x v="1"/>
    <x v="2"/>
    <x v="3"/>
  </r>
  <r>
    <x v="15"/>
    <x v="13"/>
    <s v="D2C"/>
    <x v="7"/>
    <x v="41"/>
    <s v="Series A"/>
    <n v="4500000"/>
    <d v="2021-06-15T00:00:00"/>
    <x v="2"/>
    <s v="June"/>
    <n v="6"/>
    <x v="1"/>
    <x v="1"/>
    <x v="1"/>
  </r>
  <r>
    <x v="6"/>
    <x v="12"/>
    <s v="Smart Farming"/>
    <x v="7"/>
    <x v="86"/>
    <s v="Seed"/>
    <n v="853000"/>
    <d v="2022-05-18T00:00:00"/>
    <x v="5"/>
    <s v="May"/>
    <n v="5"/>
    <x v="0"/>
    <x v="0"/>
    <x v="2"/>
  </r>
  <r>
    <x v="141"/>
    <x v="6"/>
    <s v="Food Delivery"/>
    <x v="5"/>
    <x v="257"/>
    <s v="Seed"/>
    <n v="1631000"/>
    <d v="2020-09-25T00:00:00"/>
    <x v="4"/>
    <s v="September"/>
    <n v="9"/>
    <x v="0"/>
    <x v="1"/>
    <x v="1"/>
  </r>
  <r>
    <x v="38"/>
    <x v="2"/>
    <s v="EV"/>
    <x v="9"/>
    <x v="258"/>
    <s v="Seed"/>
    <n v="1149000"/>
    <d v="2024-06-26T00:00:00"/>
    <x v="3"/>
    <s v="June"/>
    <n v="6"/>
    <x v="0"/>
    <x v="1"/>
    <x v="2"/>
  </r>
  <r>
    <x v="59"/>
    <x v="10"/>
    <s v="Pharmacy"/>
    <x v="5"/>
    <x v="54"/>
    <s v="Seed"/>
    <n v="125000"/>
    <d v="2023-02-25T00:00:00"/>
    <x v="0"/>
    <s v="February"/>
    <n v="2"/>
    <x v="0"/>
    <x v="0"/>
    <x v="0"/>
  </r>
  <r>
    <x v="93"/>
    <x v="7"/>
    <s v="Lending"/>
    <x v="2"/>
    <x v="39"/>
    <s v="Series A"/>
    <n v="3388000"/>
    <d v="2023-07-13T00:00:00"/>
    <x v="0"/>
    <s v="July"/>
    <n v="7"/>
    <x v="1"/>
    <x v="1"/>
    <x v="4"/>
  </r>
  <r>
    <x v="107"/>
    <x v="8"/>
    <s v="HRTech"/>
    <x v="7"/>
    <x v="1"/>
    <s v="Pre-Seed"/>
    <n v="27000"/>
    <d v="2020-09-05T00:00:00"/>
    <x v="4"/>
    <s v="September"/>
    <n v="9"/>
    <x v="0"/>
    <x v="0"/>
    <x v="3"/>
  </r>
  <r>
    <x v="127"/>
    <x v="4"/>
    <s v="Rental Tech"/>
    <x v="8"/>
    <x v="14"/>
    <s v="Seed"/>
    <n v="1688000"/>
    <d v="2024-05-17T00:00:00"/>
    <x v="3"/>
    <s v="May"/>
    <n v="5"/>
    <x v="0"/>
    <x v="1"/>
    <x v="2"/>
  </r>
  <r>
    <x v="90"/>
    <x v="5"/>
    <s v="Fashion"/>
    <x v="5"/>
    <x v="33"/>
    <s v="Private Equity"/>
    <n v="403808000"/>
    <d v="2022-02-19T00:00:00"/>
    <x v="5"/>
    <s v="February"/>
    <n v="2"/>
    <x v="2"/>
    <x v="3"/>
    <x v="1"/>
  </r>
  <r>
    <x v="65"/>
    <x v="4"/>
    <s v="Home Services"/>
    <x v="9"/>
    <x v="259"/>
    <s v="Series B"/>
    <n v="9425000"/>
    <d v="2023-03-16T00:00:00"/>
    <x v="0"/>
    <s v="March"/>
    <n v="3"/>
    <x v="1"/>
    <x v="1"/>
    <x v="2"/>
  </r>
  <r>
    <x v="93"/>
    <x v="8"/>
    <s v="DevTools"/>
    <x v="7"/>
    <x v="260"/>
    <s v="Seed"/>
    <n v="596000"/>
    <d v="2021-08-19T00:00:00"/>
    <x v="2"/>
    <s v="August"/>
    <n v="8"/>
    <x v="0"/>
    <x v="0"/>
    <x v="3"/>
  </r>
  <r>
    <x v="5"/>
    <x v="5"/>
    <s v="Grocery"/>
    <x v="6"/>
    <x v="261"/>
    <s v="Series A"/>
    <n v="5333000"/>
    <d v="2022-07-11T00:00:00"/>
    <x v="5"/>
    <s v="July"/>
    <n v="7"/>
    <x v="1"/>
    <x v="1"/>
    <x v="1"/>
  </r>
  <r>
    <x v="39"/>
    <x v="4"/>
    <s v="Home Services"/>
    <x v="0"/>
    <x v="17"/>
    <s v="Seed"/>
    <n v="187000"/>
    <d v="2022-03-24T00:00:00"/>
    <x v="5"/>
    <s v="March"/>
    <n v="3"/>
    <x v="0"/>
    <x v="0"/>
    <x v="2"/>
  </r>
  <r>
    <x v="2"/>
    <x v="7"/>
    <s v="InsurTech"/>
    <x v="8"/>
    <x v="57"/>
    <s v="Series C"/>
    <n v="27201000"/>
    <d v="2020-06-19T00:00:00"/>
    <x v="4"/>
    <s v="June"/>
    <n v="6"/>
    <x v="2"/>
    <x v="2"/>
    <x v="4"/>
  </r>
  <r>
    <x v="8"/>
    <x v="6"/>
    <s v="Food Delivery"/>
    <x v="3"/>
    <x v="262"/>
    <s v="Seed"/>
    <n v="595000"/>
    <d v="2021-08-04T00:00:00"/>
    <x v="2"/>
    <s v="August"/>
    <n v="8"/>
    <x v="0"/>
    <x v="0"/>
    <x v="1"/>
  </r>
  <r>
    <x v="83"/>
    <x v="7"/>
    <s v="Payments"/>
    <x v="7"/>
    <x v="255"/>
    <s v="Growth"/>
    <n v="197383000"/>
    <d v="2021-10-28T00:00:00"/>
    <x v="2"/>
    <s v="October"/>
    <n v="10"/>
    <x v="2"/>
    <x v="3"/>
    <x v="4"/>
  </r>
  <r>
    <x v="38"/>
    <x v="10"/>
    <s v="Diagnostics"/>
    <x v="6"/>
    <x v="263"/>
    <s v="Series A"/>
    <n v="8097000"/>
    <d v="2023-07-16T00:00:00"/>
    <x v="0"/>
    <s v="July"/>
    <n v="7"/>
    <x v="1"/>
    <x v="1"/>
    <x v="0"/>
  </r>
  <r>
    <x v="61"/>
    <x v="3"/>
    <s v="Smart Home"/>
    <x v="3"/>
    <x v="14"/>
    <s v="Series C"/>
    <n v="81807000"/>
    <d v="2022-06-23T00:00:00"/>
    <x v="5"/>
    <s v="June"/>
    <n v="6"/>
    <x v="2"/>
    <x v="2"/>
    <x v="3"/>
  </r>
  <r>
    <x v="24"/>
    <x v="10"/>
    <s v="Pharmacy"/>
    <x v="1"/>
    <x v="103"/>
    <s v="Pre-Seed"/>
    <n v="142000"/>
    <d v="2024-07-27T00:00:00"/>
    <x v="3"/>
    <s v="July"/>
    <n v="7"/>
    <x v="0"/>
    <x v="0"/>
    <x v="0"/>
  </r>
  <r>
    <x v="106"/>
    <x v="1"/>
    <s v="Content"/>
    <x v="5"/>
    <x v="130"/>
    <s v="Seed"/>
    <n v="383000"/>
    <d v="2024-04-17T00:00:00"/>
    <x v="3"/>
    <s v="April"/>
    <n v="4"/>
    <x v="0"/>
    <x v="0"/>
    <x v="1"/>
  </r>
  <r>
    <x v="147"/>
    <x v="0"/>
    <s v="Coding Bootcamp"/>
    <x v="8"/>
    <x v="23"/>
    <s v="Series A"/>
    <n v="4568000"/>
    <d v="2021-05-26T00:00:00"/>
    <x v="2"/>
    <s v="May"/>
    <n v="5"/>
    <x v="1"/>
    <x v="1"/>
    <x v="0"/>
  </r>
  <r>
    <x v="124"/>
    <x v="0"/>
    <s v="UpSkilling"/>
    <x v="0"/>
    <x v="264"/>
    <s v="Pre-Series A"/>
    <n v="753000"/>
    <d v="2021-05-05T00:00:00"/>
    <x v="2"/>
    <s v="May"/>
    <n v="5"/>
    <x v="1"/>
    <x v="0"/>
    <x v="0"/>
  </r>
  <r>
    <x v="38"/>
    <x v="1"/>
    <s v="Streaming"/>
    <x v="2"/>
    <x v="7"/>
    <s v="Pre-Series A"/>
    <n v="253000"/>
    <d v="2024-10-13T00:00:00"/>
    <x v="3"/>
    <s v="October"/>
    <n v="10"/>
    <x v="1"/>
    <x v="0"/>
    <x v="1"/>
  </r>
  <r>
    <x v="95"/>
    <x v="13"/>
    <s v="Fashion"/>
    <x v="6"/>
    <x v="265"/>
    <s v="Series A"/>
    <n v="1438000"/>
    <d v="2023-12-05T00:00:00"/>
    <x v="0"/>
    <s v="December"/>
    <n v="12"/>
    <x v="1"/>
    <x v="1"/>
    <x v="1"/>
  </r>
  <r>
    <x v="148"/>
    <x v="2"/>
    <s v="Ride Sharing"/>
    <x v="4"/>
    <x v="64"/>
    <s v="Bridge"/>
    <n v="56000"/>
    <d v="2021-07-31T00:00:00"/>
    <x v="2"/>
    <s v="July"/>
    <n v="7"/>
    <x v="1"/>
    <x v="0"/>
    <x v="2"/>
  </r>
  <r>
    <x v="60"/>
    <x v="1"/>
    <s v="Social"/>
    <x v="3"/>
    <x v="266"/>
    <s v="Seed"/>
    <n v="810000"/>
    <d v="2020-01-31T00:00:00"/>
    <x v="4"/>
    <s v="January"/>
    <n v="1"/>
    <x v="0"/>
    <x v="0"/>
    <x v="1"/>
  </r>
  <r>
    <x v="59"/>
    <x v="8"/>
    <s v="MarTech"/>
    <x v="1"/>
    <x v="19"/>
    <s v="Seed"/>
    <n v="493000"/>
    <d v="2024-09-23T00:00:00"/>
    <x v="3"/>
    <s v="September"/>
    <n v="9"/>
    <x v="0"/>
    <x v="0"/>
    <x v="3"/>
  </r>
  <r>
    <x v="149"/>
    <x v="3"/>
    <s v="Audio"/>
    <x v="3"/>
    <x v="267"/>
    <s v="Angel"/>
    <n v="41000"/>
    <d v="2021-05-27T00:00:00"/>
    <x v="2"/>
    <s v="May"/>
    <n v="5"/>
    <x v="0"/>
    <x v="0"/>
    <x v="3"/>
  </r>
  <r>
    <x v="10"/>
    <x v="3"/>
    <s v="Audio"/>
    <x v="1"/>
    <x v="13"/>
    <s v="Seed"/>
    <n v="110000"/>
    <d v="2024-02-14T00:00:00"/>
    <x v="3"/>
    <s v="February"/>
    <n v="2"/>
    <x v="0"/>
    <x v="0"/>
    <x v="3"/>
  </r>
  <r>
    <x v="15"/>
    <x v="4"/>
    <s v="Home Services"/>
    <x v="7"/>
    <x v="98"/>
    <s v="Seed"/>
    <n v="83000"/>
    <d v="2024-01-31T00:00:00"/>
    <x v="3"/>
    <s v="January"/>
    <n v="1"/>
    <x v="0"/>
    <x v="0"/>
    <x v="2"/>
  </r>
  <r>
    <x v="27"/>
    <x v="4"/>
    <s v="Home Services"/>
    <x v="3"/>
    <x v="268"/>
    <s v="Pre-Series A"/>
    <n v="103000"/>
    <d v="2020-04-16T00:00:00"/>
    <x v="4"/>
    <s v="April"/>
    <n v="4"/>
    <x v="1"/>
    <x v="0"/>
    <x v="2"/>
  </r>
  <r>
    <x v="150"/>
    <x v="5"/>
    <s v="Grocery"/>
    <x v="6"/>
    <x v="29"/>
    <s v="Seed"/>
    <n v="182000"/>
    <d v="2024-06-04T00:00:00"/>
    <x v="3"/>
    <s v="June"/>
    <n v="6"/>
    <x v="0"/>
    <x v="0"/>
    <x v="1"/>
  </r>
  <r>
    <x v="55"/>
    <x v="12"/>
    <s v="Marketplace"/>
    <x v="5"/>
    <x v="4"/>
    <s v="Series B"/>
    <n v="25663000"/>
    <d v="2020-11-13T00:00:00"/>
    <x v="4"/>
    <s v="November"/>
    <n v="11"/>
    <x v="1"/>
    <x v="2"/>
    <x v="2"/>
  </r>
  <r>
    <x v="10"/>
    <x v="13"/>
    <s v="Grocery"/>
    <x v="7"/>
    <x v="269"/>
    <s v="Angel"/>
    <n v="16000"/>
    <d v="2024-04-04T00:00:00"/>
    <x v="3"/>
    <s v="April"/>
    <n v="4"/>
    <x v="0"/>
    <x v="0"/>
    <x v="1"/>
  </r>
  <r>
    <x v="4"/>
    <x v="0"/>
    <s v="UpSkilling"/>
    <x v="8"/>
    <x v="4"/>
    <s v="Series C"/>
    <n v="65394000"/>
    <d v="2024-03-29T00:00:00"/>
    <x v="3"/>
    <s v="March"/>
    <n v="3"/>
    <x v="2"/>
    <x v="2"/>
    <x v="0"/>
  </r>
  <r>
    <x v="60"/>
    <x v="1"/>
    <s v="Social"/>
    <x v="1"/>
    <x v="270"/>
    <s v="Series B"/>
    <n v="61332000"/>
    <d v="2022-01-03T00:00:00"/>
    <x v="5"/>
    <s v="January"/>
    <n v="1"/>
    <x v="1"/>
    <x v="2"/>
    <x v="1"/>
  </r>
  <r>
    <x v="60"/>
    <x v="2"/>
    <s v="EV"/>
    <x v="8"/>
    <x v="271"/>
    <s v="Series B"/>
    <n v="13131000"/>
    <d v="2021-01-23T00:00:00"/>
    <x v="2"/>
    <s v="January"/>
    <n v="1"/>
    <x v="1"/>
    <x v="2"/>
    <x v="2"/>
  </r>
  <r>
    <x v="54"/>
    <x v="9"/>
    <s v="Fleet Management"/>
    <x v="8"/>
    <x v="39"/>
    <s v="Seed"/>
    <n v="333000"/>
    <d v="2022-12-23T00:00:00"/>
    <x v="5"/>
    <s v="December"/>
    <n v="12"/>
    <x v="0"/>
    <x v="0"/>
    <x v="2"/>
  </r>
  <r>
    <x v="17"/>
    <x v="2"/>
    <s v="EV"/>
    <x v="5"/>
    <x v="271"/>
    <s v="Pre-Seed"/>
    <n v="122000"/>
    <d v="2023-07-30T00:00:00"/>
    <x v="0"/>
    <s v="July"/>
    <n v="7"/>
    <x v="0"/>
    <x v="0"/>
    <x v="2"/>
  </r>
  <r>
    <x v="75"/>
    <x v="12"/>
    <s v="Smart Farming"/>
    <x v="6"/>
    <x v="110"/>
    <s v="Seed"/>
    <n v="216000"/>
    <d v="2024-01-16T00:00:00"/>
    <x v="3"/>
    <s v="January"/>
    <n v="1"/>
    <x v="0"/>
    <x v="0"/>
    <x v="2"/>
  </r>
  <r>
    <x v="124"/>
    <x v="4"/>
    <s v="Home Services"/>
    <x v="8"/>
    <x v="86"/>
    <s v="Seed"/>
    <n v="496000"/>
    <d v="2021-08-02T00:00:00"/>
    <x v="2"/>
    <s v="August"/>
    <n v="8"/>
    <x v="0"/>
    <x v="0"/>
    <x v="2"/>
  </r>
  <r>
    <x v="99"/>
    <x v="2"/>
    <s v="Micro Mobility"/>
    <x v="0"/>
    <x v="7"/>
    <s v="Pre-Seed"/>
    <n v="146000"/>
    <d v="2025-04-04T00:00:00"/>
    <x v="1"/>
    <s v="April"/>
    <n v="4"/>
    <x v="0"/>
    <x v="0"/>
    <x v="2"/>
  </r>
  <r>
    <x v="122"/>
    <x v="3"/>
    <s v="Audio"/>
    <x v="0"/>
    <x v="233"/>
    <s v="Pre-Seed"/>
    <n v="178000"/>
    <d v="2023-08-07T00:00:00"/>
    <x v="0"/>
    <s v="August"/>
    <n v="8"/>
    <x v="0"/>
    <x v="0"/>
    <x v="3"/>
  </r>
  <r>
    <x v="151"/>
    <x v="0"/>
    <s v="Test Prep"/>
    <x v="1"/>
    <x v="223"/>
    <s v="Angel"/>
    <n v="8000"/>
    <d v="2021-03-03T00:00:00"/>
    <x v="2"/>
    <s v="March"/>
    <n v="3"/>
    <x v="0"/>
    <x v="0"/>
    <x v="0"/>
  </r>
  <r>
    <x v="112"/>
    <x v="1"/>
    <s v="Content"/>
    <x v="7"/>
    <x v="136"/>
    <s v="Series C"/>
    <n v="245913000"/>
    <d v="2020-04-29T00:00:00"/>
    <x v="4"/>
    <s v="April"/>
    <n v="4"/>
    <x v="2"/>
    <x v="3"/>
    <x v="1"/>
  </r>
  <r>
    <x v="1"/>
    <x v="11"/>
    <s v="Security"/>
    <x v="0"/>
    <x v="91"/>
    <s v="Bridge"/>
    <n v="307000"/>
    <d v="2025-05-21T00:00:00"/>
    <x v="1"/>
    <s v="May"/>
    <n v="5"/>
    <x v="1"/>
    <x v="0"/>
    <x v="3"/>
  </r>
  <r>
    <x v="35"/>
    <x v="2"/>
    <s v="Micro Mobility"/>
    <x v="3"/>
    <x v="41"/>
    <s v="Series A"/>
    <n v="2012000"/>
    <d v="2025-04-24T00:00:00"/>
    <x v="1"/>
    <s v="April"/>
    <n v="4"/>
    <x v="1"/>
    <x v="1"/>
    <x v="2"/>
  </r>
  <r>
    <x v="104"/>
    <x v="5"/>
    <s v="Fashion"/>
    <x v="6"/>
    <x v="272"/>
    <s v="Pre-Series A"/>
    <n v="288000"/>
    <d v="2022-07-28T00:00:00"/>
    <x v="5"/>
    <s v="July"/>
    <n v="7"/>
    <x v="1"/>
    <x v="0"/>
    <x v="1"/>
  </r>
  <r>
    <x v="80"/>
    <x v="2"/>
    <s v="EV"/>
    <x v="4"/>
    <x v="273"/>
    <s v="Series A"/>
    <n v="14210000"/>
    <d v="2023-05-13T00:00:00"/>
    <x v="0"/>
    <s v="May"/>
    <n v="5"/>
    <x v="1"/>
    <x v="2"/>
    <x v="2"/>
  </r>
  <r>
    <x v="70"/>
    <x v="6"/>
    <s v="Grocery"/>
    <x v="9"/>
    <x v="48"/>
    <s v="Series C"/>
    <n v="75927000"/>
    <d v="2021-10-24T00:00:00"/>
    <x v="2"/>
    <s v="October"/>
    <n v="10"/>
    <x v="2"/>
    <x v="2"/>
    <x v="1"/>
  </r>
  <r>
    <x v="45"/>
    <x v="1"/>
    <s v="Content"/>
    <x v="7"/>
    <x v="29"/>
    <s v="Bridge"/>
    <n v="168000"/>
    <d v="2022-07-05T00:00:00"/>
    <x v="5"/>
    <s v="July"/>
    <n v="7"/>
    <x v="1"/>
    <x v="0"/>
    <x v="1"/>
  </r>
  <r>
    <x v="49"/>
    <x v="2"/>
    <s v="Ride Sharing"/>
    <x v="2"/>
    <x v="1"/>
    <s v="Pre-Seed"/>
    <n v="86000"/>
    <d v="2021-03-30T00:00:00"/>
    <x v="2"/>
    <s v="March"/>
    <n v="3"/>
    <x v="0"/>
    <x v="0"/>
    <x v="2"/>
  </r>
  <r>
    <x v="56"/>
    <x v="1"/>
    <s v="Content"/>
    <x v="8"/>
    <x v="249"/>
    <s v="Series A"/>
    <n v="1916000"/>
    <d v="2023-03-14T00:00:00"/>
    <x v="0"/>
    <s v="March"/>
    <n v="3"/>
    <x v="1"/>
    <x v="1"/>
    <x v="1"/>
  </r>
  <r>
    <x v="135"/>
    <x v="10"/>
    <s v="Diagnostics"/>
    <x v="2"/>
    <x v="57"/>
    <s v="Pre-Series A"/>
    <n v="119000"/>
    <d v="2023-04-07T00:00:00"/>
    <x v="0"/>
    <s v="April"/>
    <n v="4"/>
    <x v="1"/>
    <x v="0"/>
    <x v="0"/>
  </r>
  <r>
    <x v="64"/>
    <x v="13"/>
    <s v="Grocery"/>
    <x v="9"/>
    <x v="274"/>
    <s v="Series A"/>
    <n v="1418000"/>
    <d v="2021-03-21T00:00:00"/>
    <x v="2"/>
    <s v="March"/>
    <n v="3"/>
    <x v="1"/>
    <x v="1"/>
    <x v="1"/>
  </r>
  <r>
    <x v="90"/>
    <x v="11"/>
    <s v="Automation"/>
    <x v="6"/>
    <x v="275"/>
    <s v="Series C"/>
    <n v="28289000"/>
    <d v="2020-07-14T00:00:00"/>
    <x v="4"/>
    <s v="July"/>
    <n v="7"/>
    <x v="2"/>
    <x v="2"/>
    <x v="3"/>
  </r>
  <r>
    <x v="152"/>
    <x v="7"/>
    <s v="WealthTech"/>
    <x v="7"/>
    <x v="2"/>
    <s v="Growth"/>
    <n v="74657000"/>
    <d v="2022-06-08T00:00:00"/>
    <x v="5"/>
    <s v="June"/>
    <n v="6"/>
    <x v="2"/>
    <x v="2"/>
    <x v="4"/>
  </r>
  <r>
    <x v="22"/>
    <x v="11"/>
    <s v="Automation"/>
    <x v="1"/>
    <x v="276"/>
    <s v="Series B"/>
    <n v="7347000"/>
    <d v="2023-07-18T00:00:00"/>
    <x v="0"/>
    <s v="July"/>
    <n v="7"/>
    <x v="1"/>
    <x v="1"/>
    <x v="3"/>
  </r>
  <r>
    <x v="108"/>
    <x v="10"/>
    <s v="Pharmacy"/>
    <x v="8"/>
    <x v="110"/>
    <s v="Series B"/>
    <n v="29557000"/>
    <d v="2020-11-09T00:00:00"/>
    <x v="4"/>
    <s v="November"/>
    <n v="11"/>
    <x v="1"/>
    <x v="2"/>
    <x v="0"/>
  </r>
  <r>
    <x v="105"/>
    <x v="5"/>
    <s v="Fashion"/>
    <x v="6"/>
    <x v="204"/>
    <s v="Series A"/>
    <n v="1636000"/>
    <d v="2021-03-30T00:00:00"/>
    <x v="2"/>
    <s v="March"/>
    <n v="3"/>
    <x v="1"/>
    <x v="1"/>
    <x v="1"/>
  </r>
  <r>
    <x v="68"/>
    <x v="3"/>
    <s v="Smart Home"/>
    <x v="1"/>
    <x v="86"/>
    <s v="Series A"/>
    <n v="2550000"/>
    <d v="2021-06-21T00:00:00"/>
    <x v="2"/>
    <s v="June"/>
    <n v="6"/>
    <x v="1"/>
    <x v="1"/>
    <x v="3"/>
  </r>
  <r>
    <x v="137"/>
    <x v="10"/>
    <s v="Diagnostics"/>
    <x v="5"/>
    <x v="277"/>
    <s v="Series A"/>
    <n v="11342000"/>
    <d v="2022-09-26T00:00:00"/>
    <x v="5"/>
    <s v="September"/>
    <n v="9"/>
    <x v="1"/>
    <x v="2"/>
    <x v="0"/>
  </r>
  <r>
    <x v="10"/>
    <x v="9"/>
    <s v="Supply Chain"/>
    <x v="7"/>
    <x v="17"/>
    <s v="Series B"/>
    <n v="18607000"/>
    <d v="2023-03-25T00:00:00"/>
    <x v="0"/>
    <s v="March"/>
    <n v="3"/>
    <x v="1"/>
    <x v="2"/>
    <x v="2"/>
  </r>
  <r>
    <x v="110"/>
    <x v="6"/>
    <s v="Food Delivery"/>
    <x v="7"/>
    <x v="278"/>
    <s v="Seed"/>
    <n v="587000"/>
    <d v="2021-12-06T00:00:00"/>
    <x v="2"/>
    <s v="December"/>
    <n v="12"/>
    <x v="0"/>
    <x v="0"/>
    <x v="1"/>
  </r>
  <r>
    <x v="83"/>
    <x v="8"/>
    <s v="MarTech"/>
    <x v="6"/>
    <x v="0"/>
    <s v="Seed"/>
    <n v="94000"/>
    <d v="2020-04-01T00:00:00"/>
    <x v="4"/>
    <s v="April"/>
    <n v="4"/>
    <x v="0"/>
    <x v="0"/>
    <x v="3"/>
  </r>
  <r>
    <x v="141"/>
    <x v="1"/>
    <s v="Social"/>
    <x v="0"/>
    <x v="252"/>
    <s v="Series B"/>
    <n v="8521000"/>
    <d v="2021-05-12T00:00:00"/>
    <x v="2"/>
    <s v="May"/>
    <n v="5"/>
    <x v="1"/>
    <x v="1"/>
    <x v="1"/>
  </r>
  <r>
    <x v="153"/>
    <x v="1"/>
    <s v="Social"/>
    <x v="2"/>
    <x v="0"/>
    <s v="Series A"/>
    <n v="1117000"/>
    <d v="2020-02-16T00:00:00"/>
    <x v="4"/>
    <s v="February"/>
    <n v="2"/>
    <x v="1"/>
    <x v="1"/>
    <x v="1"/>
  </r>
  <r>
    <x v="130"/>
    <x v="0"/>
    <s v="UpSkilling"/>
    <x v="8"/>
    <x v="23"/>
    <s v="Series A"/>
    <n v="1580000"/>
    <d v="2024-02-03T00:00:00"/>
    <x v="3"/>
    <s v="February"/>
    <n v="2"/>
    <x v="1"/>
    <x v="1"/>
    <x v="0"/>
  </r>
  <r>
    <x v="75"/>
    <x v="6"/>
    <s v="Grocery"/>
    <x v="8"/>
    <x v="47"/>
    <s v="Pre-Seed"/>
    <n v="38000"/>
    <d v="2020-12-14T00:00:00"/>
    <x v="4"/>
    <s v="December"/>
    <n v="12"/>
    <x v="0"/>
    <x v="0"/>
    <x v="1"/>
  </r>
  <r>
    <x v="154"/>
    <x v="4"/>
    <s v="PropTech"/>
    <x v="0"/>
    <x v="279"/>
    <s v="Pre-Series A"/>
    <n v="150000"/>
    <d v="2021-07-09T00:00:00"/>
    <x v="2"/>
    <s v="July"/>
    <n v="7"/>
    <x v="1"/>
    <x v="0"/>
    <x v="2"/>
  </r>
  <r>
    <x v="75"/>
    <x v="9"/>
    <s v="Fleet Management"/>
    <x v="9"/>
    <x v="280"/>
    <s v="Seed"/>
    <n v="69000"/>
    <d v="2022-02-18T00:00:00"/>
    <x v="5"/>
    <s v="February"/>
    <n v="2"/>
    <x v="0"/>
    <x v="0"/>
    <x v="2"/>
  </r>
  <r>
    <x v="25"/>
    <x v="12"/>
    <s v="Marketplace"/>
    <x v="0"/>
    <x v="25"/>
    <s v="Seed"/>
    <n v="78000"/>
    <d v="2022-10-22T00:00:00"/>
    <x v="5"/>
    <s v="October"/>
    <n v="10"/>
    <x v="0"/>
    <x v="0"/>
    <x v="2"/>
  </r>
  <r>
    <x v="55"/>
    <x v="0"/>
    <s v="UpSkilling"/>
    <x v="7"/>
    <x v="29"/>
    <s v="Series A"/>
    <n v="3483000"/>
    <d v="2024-03-04T00:00:00"/>
    <x v="3"/>
    <s v="March"/>
    <n v="3"/>
    <x v="1"/>
    <x v="1"/>
    <x v="0"/>
  </r>
  <r>
    <x v="37"/>
    <x v="9"/>
    <s v="Last Mile"/>
    <x v="8"/>
    <x v="281"/>
    <s v="Seed"/>
    <n v="107000"/>
    <d v="2020-05-06T00:00:00"/>
    <x v="4"/>
    <s v="May"/>
    <n v="5"/>
    <x v="0"/>
    <x v="0"/>
    <x v="2"/>
  </r>
  <r>
    <x v="145"/>
    <x v="2"/>
    <s v="EV"/>
    <x v="3"/>
    <x v="219"/>
    <s v="Seed"/>
    <n v="192000"/>
    <d v="2025-01-11T00:00:00"/>
    <x v="1"/>
    <s v="January"/>
    <n v="1"/>
    <x v="0"/>
    <x v="0"/>
    <x v="2"/>
  </r>
  <r>
    <x v="51"/>
    <x v="4"/>
    <s v="Rental Tech"/>
    <x v="3"/>
    <x v="39"/>
    <s v="Pre-Series A"/>
    <n v="319000"/>
    <d v="2023-03-19T00:00:00"/>
    <x v="0"/>
    <s v="March"/>
    <n v="3"/>
    <x v="1"/>
    <x v="0"/>
    <x v="2"/>
  </r>
  <r>
    <x v="61"/>
    <x v="8"/>
    <s v="MarTech"/>
    <x v="8"/>
    <x v="79"/>
    <s v="Seed"/>
    <n v="638000"/>
    <d v="2023-08-29T00:00:00"/>
    <x v="0"/>
    <s v="August"/>
    <n v="8"/>
    <x v="0"/>
    <x v="0"/>
    <x v="3"/>
  </r>
  <r>
    <x v="103"/>
    <x v="9"/>
    <s v="Fleet Management"/>
    <x v="8"/>
    <x v="110"/>
    <s v="Angel"/>
    <n v="6000"/>
    <d v="2022-05-30T00:00:00"/>
    <x v="5"/>
    <s v="May"/>
    <n v="5"/>
    <x v="0"/>
    <x v="0"/>
    <x v="2"/>
  </r>
  <r>
    <x v="13"/>
    <x v="2"/>
    <s v="Micro Mobility"/>
    <x v="0"/>
    <x v="23"/>
    <s v="Seed"/>
    <n v="954000"/>
    <d v="2024-09-15T00:00:00"/>
    <x v="3"/>
    <s v="September"/>
    <n v="9"/>
    <x v="0"/>
    <x v="0"/>
    <x v="2"/>
  </r>
  <r>
    <x v="108"/>
    <x v="6"/>
    <s v="Food Delivery"/>
    <x v="2"/>
    <x v="282"/>
    <s v="Series A"/>
    <n v="5476000"/>
    <d v="2025-03-27T00:00:00"/>
    <x v="1"/>
    <s v="March"/>
    <n v="3"/>
    <x v="1"/>
    <x v="1"/>
    <x v="1"/>
  </r>
  <r>
    <x v="4"/>
    <x v="7"/>
    <s v="NeoBank"/>
    <x v="6"/>
    <x v="57"/>
    <s v="Seed"/>
    <n v="68000"/>
    <d v="2023-03-07T00:00:00"/>
    <x v="0"/>
    <s v="March"/>
    <n v="3"/>
    <x v="0"/>
    <x v="0"/>
    <x v="4"/>
  </r>
  <r>
    <x v="79"/>
    <x v="1"/>
    <s v="Content"/>
    <x v="4"/>
    <x v="190"/>
    <s v="Series A"/>
    <n v="10651000"/>
    <d v="2023-05-23T00:00:00"/>
    <x v="0"/>
    <s v="May"/>
    <n v="5"/>
    <x v="1"/>
    <x v="2"/>
    <x v="1"/>
  </r>
  <r>
    <x v="124"/>
    <x v="10"/>
    <s v="Diagnostics"/>
    <x v="3"/>
    <x v="65"/>
    <s v="Seed"/>
    <n v="1494000"/>
    <d v="2022-04-16T00:00:00"/>
    <x v="5"/>
    <s v="April"/>
    <n v="4"/>
    <x v="0"/>
    <x v="1"/>
    <x v="0"/>
  </r>
  <r>
    <x v="110"/>
    <x v="0"/>
    <s v="K12"/>
    <x v="3"/>
    <x v="255"/>
    <s v="Seed"/>
    <n v="63000"/>
    <d v="2025-03-13T00:00:00"/>
    <x v="1"/>
    <s v="March"/>
    <n v="3"/>
    <x v="0"/>
    <x v="0"/>
    <x v="0"/>
  </r>
  <r>
    <x v="70"/>
    <x v="0"/>
    <s v="Coding Bootcamp"/>
    <x v="9"/>
    <x v="283"/>
    <s v="Series C"/>
    <n v="42331000"/>
    <d v="2023-05-30T00:00:00"/>
    <x v="0"/>
    <s v="May"/>
    <n v="5"/>
    <x v="2"/>
    <x v="2"/>
    <x v="0"/>
  </r>
  <r>
    <x v="91"/>
    <x v="3"/>
    <s v="Wearables"/>
    <x v="1"/>
    <x v="105"/>
    <s v="Growth"/>
    <n v="419740000"/>
    <d v="2021-05-18T00:00:00"/>
    <x v="2"/>
    <s v="May"/>
    <n v="5"/>
    <x v="2"/>
    <x v="3"/>
    <x v="3"/>
  </r>
  <r>
    <x v="55"/>
    <x v="2"/>
    <s v="EV"/>
    <x v="8"/>
    <x v="7"/>
    <s v="Series C"/>
    <n v="151723000"/>
    <d v="2025-05-25T00:00:00"/>
    <x v="1"/>
    <s v="May"/>
    <n v="5"/>
    <x v="2"/>
    <x v="3"/>
    <x v="2"/>
  </r>
  <r>
    <x v="60"/>
    <x v="6"/>
    <s v="Food Delivery"/>
    <x v="2"/>
    <x v="79"/>
    <s v="Series A"/>
    <n v="1648000"/>
    <d v="2022-05-15T00:00:00"/>
    <x v="5"/>
    <s v="May"/>
    <n v="5"/>
    <x v="1"/>
    <x v="1"/>
    <x v="1"/>
  </r>
  <r>
    <x v="3"/>
    <x v="1"/>
    <s v="Streaming"/>
    <x v="4"/>
    <x v="113"/>
    <s v="Series A"/>
    <n v="1763000"/>
    <d v="2023-08-16T00:00:00"/>
    <x v="0"/>
    <s v="August"/>
    <n v="8"/>
    <x v="1"/>
    <x v="1"/>
    <x v="1"/>
  </r>
  <r>
    <x v="80"/>
    <x v="1"/>
    <s v="Streaming"/>
    <x v="4"/>
    <x v="284"/>
    <s v="Pre-Series A"/>
    <n v="235000"/>
    <d v="2021-10-24T00:00:00"/>
    <x v="2"/>
    <s v="October"/>
    <n v="10"/>
    <x v="1"/>
    <x v="0"/>
    <x v="1"/>
  </r>
  <r>
    <x v="103"/>
    <x v="13"/>
    <s v="D2C"/>
    <x v="7"/>
    <x v="285"/>
    <s v="Series B"/>
    <n v="19160000"/>
    <d v="2025-01-31T00:00:00"/>
    <x v="1"/>
    <s v="January"/>
    <n v="1"/>
    <x v="1"/>
    <x v="2"/>
    <x v="1"/>
  </r>
  <r>
    <x v="44"/>
    <x v="1"/>
    <s v="Content"/>
    <x v="7"/>
    <x v="82"/>
    <s v="Seed"/>
    <n v="489000"/>
    <d v="2023-12-19T00:00:00"/>
    <x v="0"/>
    <s v="December"/>
    <n v="12"/>
    <x v="0"/>
    <x v="0"/>
    <x v="1"/>
  </r>
  <r>
    <x v="13"/>
    <x v="6"/>
    <s v="Cloud Kitchen"/>
    <x v="4"/>
    <x v="286"/>
    <s v="Angel"/>
    <n v="15000"/>
    <d v="2023-03-04T00:00:00"/>
    <x v="0"/>
    <s v="March"/>
    <n v="3"/>
    <x v="0"/>
    <x v="0"/>
    <x v="1"/>
  </r>
  <r>
    <x v="3"/>
    <x v="6"/>
    <s v="Food Delivery"/>
    <x v="2"/>
    <x v="16"/>
    <s v="Series B"/>
    <n v="18027000"/>
    <d v="2025-05-22T00:00:00"/>
    <x v="1"/>
    <s v="May"/>
    <n v="5"/>
    <x v="1"/>
    <x v="2"/>
    <x v="1"/>
  </r>
  <r>
    <x v="68"/>
    <x v="7"/>
    <s v="NeoBank"/>
    <x v="2"/>
    <x v="26"/>
    <s v="Pre-Seed"/>
    <n v="112000"/>
    <d v="2022-10-16T00:00:00"/>
    <x v="5"/>
    <s v="October"/>
    <n v="10"/>
    <x v="0"/>
    <x v="0"/>
    <x v="4"/>
  </r>
  <r>
    <x v="32"/>
    <x v="12"/>
    <s v="Marketplace"/>
    <x v="5"/>
    <x v="79"/>
    <s v="Series A"/>
    <n v="1104000"/>
    <d v="2022-06-23T00:00:00"/>
    <x v="5"/>
    <s v="June"/>
    <n v="6"/>
    <x v="1"/>
    <x v="1"/>
    <x v="2"/>
  </r>
  <r>
    <x v="147"/>
    <x v="2"/>
    <s v="EV"/>
    <x v="6"/>
    <x v="19"/>
    <s v="Series A"/>
    <n v="1981000"/>
    <d v="2024-08-06T00:00:00"/>
    <x v="3"/>
    <s v="August"/>
    <n v="8"/>
    <x v="1"/>
    <x v="1"/>
    <x v="2"/>
  </r>
  <r>
    <x v="155"/>
    <x v="8"/>
    <s v="B2B SaaS"/>
    <x v="4"/>
    <x v="287"/>
    <s v="Series D"/>
    <n v="258416000"/>
    <d v="2023-09-28T00:00:00"/>
    <x v="0"/>
    <s v="September"/>
    <n v="9"/>
    <x v="2"/>
    <x v="3"/>
    <x v="3"/>
  </r>
  <r>
    <x v="46"/>
    <x v="7"/>
    <s v="Payments"/>
    <x v="9"/>
    <x v="288"/>
    <s v="Debt"/>
    <n v="26070000"/>
    <d v="2020-11-26T00:00:00"/>
    <x v="4"/>
    <s v="November"/>
    <n v="11"/>
    <x v="2"/>
    <x v="2"/>
    <x v="4"/>
  </r>
  <r>
    <x v="21"/>
    <x v="1"/>
    <s v="Streaming"/>
    <x v="7"/>
    <x v="103"/>
    <s v="Angel"/>
    <n v="23000"/>
    <d v="2020-07-09T00:00:00"/>
    <x v="4"/>
    <s v="July"/>
    <n v="7"/>
    <x v="0"/>
    <x v="0"/>
    <x v="1"/>
  </r>
  <r>
    <x v="51"/>
    <x v="5"/>
    <s v="Grocery"/>
    <x v="8"/>
    <x v="64"/>
    <s v="Seed"/>
    <n v="356000"/>
    <d v="2022-08-22T00:00:00"/>
    <x v="5"/>
    <s v="August"/>
    <n v="8"/>
    <x v="0"/>
    <x v="0"/>
    <x v="1"/>
  </r>
  <r>
    <x v="47"/>
    <x v="6"/>
    <s v="Grocery"/>
    <x v="3"/>
    <x v="17"/>
    <s v="Series B"/>
    <n v="6730000"/>
    <d v="2023-06-07T00:00:00"/>
    <x v="0"/>
    <s v="June"/>
    <n v="6"/>
    <x v="1"/>
    <x v="1"/>
    <x v="1"/>
  </r>
  <r>
    <x v="46"/>
    <x v="3"/>
    <s v="Smart Home"/>
    <x v="6"/>
    <x v="39"/>
    <s v="Angel"/>
    <n v="19000"/>
    <d v="2023-12-18T00:00:00"/>
    <x v="0"/>
    <s v="December"/>
    <n v="12"/>
    <x v="0"/>
    <x v="0"/>
    <x v="3"/>
  </r>
  <r>
    <x v="108"/>
    <x v="12"/>
    <s v="Marketplace"/>
    <x v="7"/>
    <x v="177"/>
    <s v="Angel"/>
    <n v="25000"/>
    <d v="2023-06-12T00:00:00"/>
    <x v="0"/>
    <s v="June"/>
    <n v="6"/>
    <x v="0"/>
    <x v="0"/>
    <x v="2"/>
  </r>
  <r>
    <x v="59"/>
    <x v="3"/>
    <s v="Audio"/>
    <x v="6"/>
    <x v="29"/>
    <s v="Seed"/>
    <n v="122000"/>
    <d v="2021-08-17T00:00:00"/>
    <x v="2"/>
    <s v="August"/>
    <n v="8"/>
    <x v="0"/>
    <x v="0"/>
    <x v="3"/>
  </r>
  <r>
    <x v="79"/>
    <x v="5"/>
    <s v="E-Retail"/>
    <x v="3"/>
    <x v="289"/>
    <s v="Series C"/>
    <n v="41465000"/>
    <d v="2022-04-29T00:00:00"/>
    <x v="5"/>
    <s v="April"/>
    <n v="4"/>
    <x v="2"/>
    <x v="2"/>
    <x v="1"/>
  </r>
  <r>
    <x v="130"/>
    <x v="7"/>
    <s v="Lending"/>
    <x v="2"/>
    <x v="47"/>
    <s v="Seed"/>
    <n v="201000"/>
    <d v="2020-05-18T00:00:00"/>
    <x v="4"/>
    <s v="May"/>
    <n v="5"/>
    <x v="0"/>
    <x v="0"/>
    <x v="4"/>
  </r>
  <r>
    <x v="99"/>
    <x v="13"/>
    <s v="D2C"/>
    <x v="7"/>
    <x v="134"/>
    <s v="Pre-Series A"/>
    <n v="105000"/>
    <d v="2023-03-11T00:00:00"/>
    <x v="0"/>
    <s v="March"/>
    <n v="3"/>
    <x v="1"/>
    <x v="0"/>
    <x v="1"/>
  </r>
  <r>
    <x v="28"/>
    <x v="8"/>
    <s v="MarTech"/>
    <x v="5"/>
    <x v="61"/>
    <s v="Series C"/>
    <n v="47844000"/>
    <d v="2023-08-15T00:00:00"/>
    <x v="0"/>
    <s v="August"/>
    <n v="8"/>
    <x v="2"/>
    <x v="2"/>
    <x v="3"/>
  </r>
  <r>
    <x v="114"/>
    <x v="2"/>
    <s v="EV"/>
    <x v="5"/>
    <x v="290"/>
    <s v="Series C"/>
    <n v="35458000"/>
    <d v="2022-04-27T00:00:00"/>
    <x v="5"/>
    <s v="April"/>
    <n v="4"/>
    <x v="2"/>
    <x v="2"/>
    <x v="2"/>
  </r>
  <r>
    <x v="25"/>
    <x v="7"/>
    <s v="Lending"/>
    <x v="6"/>
    <x v="19"/>
    <s v="Series B"/>
    <n v="12397000"/>
    <d v="2024-06-25T00:00:00"/>
    <x v="3"/>
    <s v="June"/>
    <n v="6"/>
    <x v="1"/>
    <x v="2"/>
    <x v="4"/>
  </r>
  <r>
    <x v="18"/>
    <x v="7"/>
    <s v="WealthTech"/>
    <x v="9"/>
    <x v="41"/>
    <s v="Series A"/>
    <n v="1383000"/>
    <d v="2024-09-21T00:00:00"/>
    <x v="3"/>
    <s v="September"/>
    <n v="9"/>
    <x v="1"/>
    <x v="1"/>
    <x v="4"/>
  </r>
  <r>
    <x v="124"/>
    <x v="13"/>
    <s v="D2C"/>
    <x v="7"/>
    <x v="140"/>
    <s v="Series B"/>
    <n v="59057000"/>
    <d v="2021-07-10T00:00:00"/>
    <x v="2"/>
    <s v="July"/>
    <n v="7"/>
    <x v="1"/>
    <x v="2"/>
    <x v="1"/>
  </r>
  <r>
    <x v="141"/>
    <x v="9"/>
    <s v="Last Mile"/>
    <x v="8"/>
    <x v="4"/>
    <s v="Seed"/>
    <n v="447000"/>
    <d v="2020-08-17T00:00:00"/>
    <x v="4"/>
    <s v="August"/>
    <n v="8"/>
    <x v="0"/>
    <x v="0"/>
    <x v="2"/>
  </r>
  <r>
    <x v="103"/>
    <x v="3"/>
    <s v="Smart Home"/>
    <x v="1"/>
    <x v="291"/>
    <s v="Series C"/>
    <n v="125810000"/>
    <d v="2025-01-27T00:00:00"/>
    <x v="1"/>
    <s v="January"/>
    <n v="1"/>
    <x v="2"/>
    <x v="3"/>
    <x v="3"/>
  </r>
  <r>
    <x v="62"/>
    <x v="2"/>
    <s v="EV"/>
    <x v="7"/>
    <x v="69"/>
    <s v="Seed"/>
    <n v="919000"/>
    <d v="2024-11-20T00:00:00"/>
    <x v="3"/>
    <s v="November"/>
    <n v="11"/>
    <x v="0"/>
    <x v="0"/>
    <x v="2"/>
  </r>
  <r>
    <x v="68"/>
    <x v="7"/>
    <s v="InsurTech"/>
    <x v="9"/>
    <x v="29"/>
    <s v="Series B"/>
    <n v="19914000"/>
    <d v="2022-12-05T00:00:00"/>
    <x v="5"/>
    <s v="December"/>
    <n v="12"/>
    <x v="1"/>
    <x v="2"/>
    <x v="4"/>
  </r>
  <r>
    <x v="81"/>
    <x v="12"/>
    <s v="Supply Chain"/>
    <x v="7"/>
    <x v="13"/>
    <s v="Series A"/>
    <n v="1265000"/>
    <d v="2020-04-04T00:00:00"/>
    <x v="4"/>
    <s v="April"/>
    <n v="4"/>
    <x v="1"/>
    <x v="1"/>
    <x v="2"/>
  </r>
  <r>
    <x v="156"/>
    <x v="5"/>
    <s v="Grocery"/>
    <x v="3"/>
    <x v="47"/>
    <s v="Seed"/>
    <n v="363000"/>
    <d v="2021-01-29T00:00:00"/>
    <x v="2"/>
    <s v="January"/>
    <n v="1"/>
    <x v="0"/>
    <x v="0"/>
    <x v="1"/>
  </r>
  <r>
    <x v="108"/>
    <x v="4"/>
    <s v="PropTech"/>
    <x v="2"/>
    <x v="29"/>
    <s v="Seed"/>
    <n v="436000"/>
    <d v="2021-07-14T00:00:00"/>
    <x v="2"/>
    <s v="July"/>
    <n v="7"/>
    <x v="0"/>
    <x v="0"/>
    <x v="2"/>
  </r>
  <r>
    <x v="14"/>
    <x v="0"/>
    <s v="UpSkilling"/>
    <x v="8"/>
    <x v="292"/>
    <s v="Seed"/>
    <n v="782000"/>
    <d v="2020-10-16T00:00:00"/>
    <x v="4"/>
    <s v="October"/>
    <n v="10"/>
    <x v="0"/>
    <x v="0"/>
    <x v="0"/>
  </r>
  <r>
    <x v="61"/>
    <x v="8"/>
    <s v="MarTech"/>
    <x v="1"/>
    <x v="293"/>
    <s v="Seed"/>
    <n v="246000"/>
    <d v="2022-08-22T00:00:00"/>
    <x v="5"/>
    <s v="August"/>
    <n v="8"/>
    <x v="0"/>
    <x v="0"/>
    <x v="3"/>
  </r>
  <r>
    <x v="105"/>
    <x v="12"/>
    <s v="Marketplace"/>
    <x v="5"/>
    <x v="69"/>
    <s v="Series A"/>
    <n v="1413000"/>
    <d v="2021-10-01T00:00:00"/>
    <x v="2"/>
    <s v="October"/>
    <n v="10"/>
    <x v="1"/>
    <x v="1"/>
    <x v="2"/>
  </r>
  <r>
    <x v="89"/>
    <x v="5"/>
    <s v="Grocery"/>
    <x v="6"/>
    <x v="294"/>
    <s v="Seed"/>
    <n v="142000"/>
    <d v="2024-07-22T00:00:00"/>
    <x v="3"/>
    <s v="July"/>
    <n v="7"/>
    <x v="0"/>
    <x v="0"/>
    <x v="1"/>
  </r>
  <r>
    <x v="54"/>
    <x v="3"/>
    <s v="Audio"/>
    <x v="3"/>
    <x v="295"/>
    <s v="Seed"/>
    <n v="191000"/>
    <d v="2025-01-08T00:00:00"/>
    <x v="1"/>
    <s v="January"/>
    <n v="1"/>
    <x v="0"/>
    <x v="0"/>
    <x v="3"/>
  </r>
  <r>
    <x v="80"/>
    <x v="4"/>
    <s v="Home Services"/>
    <x v="7"/>
    <x v="61"/>
    <s v="Series A"/>
    <n v="5750000"/>
    <d v="2020-03-02T00:00:00"/>
    <x v="4"/>
    <s v="March"/>
    <n v="3"/>
    <x v="1"/>
    <x v="1"/>
    <x v="2"/>
  </r>
  <r>
    <x v="42"/>
    <x v="11"/>
    <s v="Analytics"/>
    <x v="2"/>
    <x v="34"/>
    <s v="Series C"/>
    <n v="93825000"/>
    <d v="2023-05-22T00:00:00"/>
    <x v="0"/>
    <s v="May"/>
    <n v="5"/>
    <x v="2"/>
    <x v="2"/>
    <x v="3"/>
  </r>
  <r>
    <x v="4"/>
    <x v="4"/>
    <s v="PropTech"/>
    <x v="2"/>
    <x v="296"/>
    <s v="Series A"/>
    <n v="2623000"/>
    <d v="2022-03-31T00:00:00"/>
    <x v="5"/>
    <s v="March"/>
    <n v="3"/>
    <x v="1"/>
    <x v="1"/>
    <x v="2"/>
  </r>
  <r>
    <x v="13"/>
    <x v="6"/>
    <s v="Cloud Kitchen"/>
    <x v="7"/>
    <x v="297"/>
    <s v="Seed"/>
    <n v="1903000"/>
    <d v="2023-11-22T00:00:00"/>
    <x v="0"/>
    <s v="November"/>
    <n v="11"/>
    <x v="0"/>
    <x v="1"/>
    <x v="1"/>
  </r>
  <r>
    <x v="87"/>
    <x v="0"/>
    <s v="K12"/>
    <x v="0"/>
    <x v="298"/>
    <s v="Series B"/>
    <n v="26816000"/>
    <d v="2023-12-28T00:00:00"/>
    <x v="0"/>
    <s v="December"/>
    <n v="12"/>
    <x v="1"/>
    <x v="2"/>
    <x v="0"/>
  </r>
  <r>
    <x v="97"/>
    <x v="13"/>
    <s v="Fashion"/>
    <x v="4"/>
    <x v="79"/>
    <s v="Seed"/>
    <n v="120000"/>
    <d v="2022-04-11T00:00:00"/>
    <x v="5"/>
    <s v="April"/>
    <n v="4"/>
    <x v="0"/>
    <x v="0"/>
    <x v="1"/>
  </r>
  <r>
    <x v="51"/>
    <x v="4"/>
    <s v="Rental Tech"/>
    <x v="1"/>
    <x v="138"/>
    <s v="Seed"/>
    <n v="73000"/>
    <d v="2024-07-31T00:00:00"/>
    <x v="3"/>
    <s v="July"/>
    <n v="7"/>
    <x v="0"/>
    <x v="0"/>
    <x v="2"/>
  </r>
  <r>
    <x v="7"/>
    <x v="5"/>
    <s v="E-Retail"/>
    <x v="4"/>
    <x v="178"/>
    <s v="Series A"/>
    <n v="1513000"/>
    <d v="2021-08-19T00:00:00"/>
    <x v="2"/>
    <s v="August"/>
    <n v="8"/>
    <x v="1"/>
    <x v="1"/>
    <x v="1"/>
  </r>
  <r>
    <x v="11"/>
    <x v="8"/>
    <s v="HRTech"/>
    <x v="6"/>
    <x v="138"/>
    <s v="Series C"/>
    <n v="38931000"/>
    <d v="2023-10-23T00:00:00"/>
    <x v="0"/>
    <s v="October"/>
    <n v="10"/>
    <x v="2"/>
    <x v="2"/>
    <x v="3"/>
  </r>
  <r>
    <x v="137"/>
    <x v="8"/>
    <s v="B2B SaaS"/>
    <x v="6"/>
    <x v="1"/>
    <s v="Pre-Seed"/>
    <n v="29000"/>
    <d v="2022-11-11T00:00:00"/>
    <x v="5"/>
    <s v="November"/>
    <n v="11"/>
    <x v="0"/>
    <x v="0"/>
    <x v="3"/>
  </r>
  <r>
    <x v="112"/>
    <x v="2"/>
    <s v="Ride Sharing"/>
    <x v="1"/>
    <x v="17"/>
    <s v="Series B"/>
    <n v="8387000"/>
    <d v="2024-08-07T00:00:00"/>
    <x v="3"/>
    <s v="August"/>
    <n v="8"/>
    <x v="1"/>
    <x v="1"/>
    <x v="2"/>
  </r>
  <r>
    <x v="49"/>
    <x v="0"/>
    <s v="Coding Bootcamp"/>
    <x v="6"/>
    <x v="299"/>
    <s v="Pre-Series A"/>
    <n v="193000"/>
    <d v="2021-10-13T00:00:00"/>
    <x v="2"/>
    <s v="October"/>
    <n v="10"/>
    <x v="1"/>
    <x v="0"/>
    <x v="0"/>
  </r>
  <r>
    <x v="113"/>
    <x v="3"/>
    <s v="Audio"/>
    <x v="3"/>
    <x v="69"/>
    <s v="Series A"/>
    <n v="1599000"/>
    <d v="2024-09-23T00:00:00"/>
    <x v="3"/>
    <s v="September"/>
    <n v="9"/>
    <x v="1"/>
    <x v="1"/>
    <x v="3"/>
  </r>
  <r>
    <x v="8"/>
    <x v="11"/>
    <s v="Automation"/>
    <x v="4"/>
    <x v="300"/>
    <s v="Seed"/>
    <n v="1367000"/>
    <d v="2020-05-26T00:00:00"/>
    <x v="4"/>
    <s v="May"/>
    <n v="5"/>
    <x v="0"/>
    <x v="1"/>
    <x v="3"/>
  </r>
  <r>
    <x v="137"/>
    <x v="10"/>
    <s v="Telemedicine"/>
    <x v="4"/>
    <x v="301"/>
    <s v="Series B"/>
    <n v="6246000"/>
    <d v="2022-05-01T00:00:00"/>
    <x v="5"/>
    <s v="May"/>
    <n v="5"/>
    <x v="1"/>
    <x v="1"/>
    <x v="0"/>
  </r>
  <r>
    <x v="16"/>
    <x v="12"/>
    <s v="Supply Chain"/>
    <x v="5"/>
    <x v="266"/>
    <s v="Series A"/>
    <n v="4139000"/>
    <d v="2023-02-04T00:00:00"/>
    <x v="0"/>
    <s v="February"/>
    <n v="2"/>
    <x v="1"/>
    <x v="1"/>
    <x v="2"/>
  </r>
  <r>
    <x v="16"/>
    <x v="12"/>
    <s v="Supply Chain"/>
    <x v="6"/>
    <x v="23"/>
    <s v="Series A"/>
    <n v="3039000"/>
    <d v="2024-02-05T00:00:00"/>
    <x v="3"/>
    <s v="February"/>
    <n v="2"/>
    <x v="1"/>
    <x v="1"/>
    <x v="2"/>
  </r>
  <r>
    <x v="98"/>
    <x v="2"/>
    <s v="Micro Mobility"/>
    <x v="7"/>
    <x v="302"/>
    <s v="Pre-Seed"/>
    <n v="192000"/>
    <d v="2020-03-18T00:00:00"/>
    <x v="4"/>
    <s v="March"/>
    <n v="3"/>
    <x v="0"/>
    <x v="0"/>
    <x v="2"/>
  </r>
  <r>
    <x v="62"/>
    <x v="13"/>
    <s v="Marketplace"/>
    <x v="8"/>
    <x v="61"/>
    <s v="Debt"/>
    <n v="201000"/>
    <d v="2024-03-17T00:00:00"/>
    <x v="3"/>
    <s v="March"/>
    <n v="3"/>
    <x v="2"/>
    <x v="0"/>
    <x v="1"/>
  </r>
  <r>
    <x v="89"/>
    <x v="12"/>
    <s v="Supply Chain"/>
    <x v="3"/>
    <x v="303"/>
    <s v="Series A"/>
    <n v="2937000"/>
    <d v="2024-02-27T00:00:00"/>
    <x v="3"/>
    <s v="February"/>
    <n v="2"/>
    <x v="1"/>
    <x v="1"/>
    <x v="2"/>
  </r>
  <r>
    <x v="61"/>
    <x v="8"/>
    <s v="B2B SaaS"/>
    <x v="5"/>
    <x v="126"/>
    <s v="Series A"/>
    <n v="13810000"/>
    <d v="2025-01-29T00:00:00"/>
    <x v="1"/>
    <s v="January"/>
    <n v="1"/>
    <x v="1"/>
    <x v="2"/>
    <x v="3"/>
  </r>
  <r>
    <x v="37"/>
    <x v="5"/>
    <s v="Grocery"/>
    <x v="2"/>
    <x v="304"/>
    <s v="Seed"/>
    <n v="1218000"/>
    <d v="2023-11-24T00:00:00"/>
    <x v="0"/>
    <s v="November"/>
    <n v="11"/>
    <x v="0"/>
    <x v="1"/>
    <x v="1"/>
  </r>
  <r>
    <x v="24"/>
    <x v="7"/>
    <s v="InsurTech"/>
    <x v="6"/>
    <x v="305"/>
    <s v="Seed"/>
    <n v="1019000"/>
    <d v="2020-04-15T00:00:00"/>
    <x v="4"/>
    <s v="April"/>
    <n v="4"/>
    <x v="0"/>
    <x v="1"/>
    <x v="4"/>
  </r>
  <r>
    <x v="29"/>
    <x v="10"/>
    <s v="Telemedicine"/>
    <x v="2"/>
    <x v="47"/>
    <s v="Seed"/>
    <n v="129000"/>
    <d v="2023-06-15T00:00:00"/>
    <x v="0"/>
    <s v="June"/>
    <n v="6"/>
    <x v="0"/>
    <x v="0"/>
    <x v="0"/>
  </r>
  <r>
    <x v="157"/>
    <x v="13"/>
    <s v="Grocery"/>
    <x v="4"/>
    <x v="110"/>
    <s v="Angel"/>
    <n v="8000"/>
    <d v="2024-02-22T00:00:00"/>
    <x v="3"/>
    <s v="February"/>
    <n v="2"/>
    <x v="0"/>
    <x v="0"/>
    <x v="1"/>
  </r>
  <r>
    <x v="48"/>
    <x v="5"/>
    <s v="E-Retail"/>
    <x v="2"/>
    <x v="306"/>
    <s v="Series C"/>
    <n v="122297000"/>
    <d v="2021-04-28T00:00:00"/>
    <x v="2"/>
    <s v="April"/>
    <n v="4"/>
    <x v="2"/>
    <x v="3"/>
    <x v="1"/>
  </r>
  <r>
    <x v="122"/>
    <x v="13"/>
    <s v="Marketplace"/>
    <x v="6"/>
    <x v="166"/>
    <s v="Angel"/>
    <n v="81000"/>
    <d v="2020-11-11T00:00:00"/>
    <x v="4"/>
    <s v="November"/>
    <n v="11"/>
    <x v="0"/>
    <x v="0"/>
    <x v="1"/>
  </r>
  <r>
    <x v="35"/>
    <x v="3"/>
    <s v="Smart Home"/>
    <x v="4"/>
    <x v="19"/>
    <s v="Seed"/>
    <n v="390000"/>
    <d v="2024-02-12T00:00:00"/>
    <x v="3"/>
    <s v="February"/>
    <n v="2"/>
    <x v="0"/>
    <x v="0"/>
    <x v="3"/>
  </r>
  <r>
    <x v="17"/>
    <x v="5"/>
    <s v="E-Retail"/>
    <x v="1"/>
    <x v="307"/>
    <s v="Seed"/>
    <n v="412000"/>
    <d v="2022-03-27T00:00:00"/>
    <x v="5"/>
    <s v="March"/>
    <n v="3"/>
    <x v="0"/>
    <x v="0"/>
    <x v="1"/>
  </r>
  <r>
    <x v="73"/>
    <x v="6"/>
    <s v="Grocery"/>
    <x v="9"/>
    <x v="84"/>
    <s v="Series A"/>
    <n v="2134000"/>
    <d v="2020-10-24T00:00:00"/>
    <x v="4"/>
    <s v="October"/>
    <n v="10"/>
    <x v="1"/>
    <x v="1"/>
    <x v="1"/>
  </r>
  <r>
    <x v="76"/>
    <x v="8"/>
    <s v="B2B SaaS"/>
    <x v="0"/>
    <x v="65"/>
    <s v="Angel"/>
    <n v="50000"/>
    <d v="2023-07-29T00:00:00"/>
    <x v="0"/>
    <s v="July"/>
    <n v="7"/>
    <x v="0"/>
    <x v="0"/>
    <x v="3"/>
  </r>
  <r>
    <x v="126"/>
    <x v="12"/>
    <s v="Marketplace"/>
    <x v="2"/>
    <x v="57"/>
    <s v="Seed"/>
    <n v="100000"/>
    <d v="2021-06-30T00:00:00"/>
    <x v="2"/>
    <s v="June"/>
    <n v="6"/>
    <x v="0"/>
    <x v="0"/>
    <x v="2"/>
  </r>
  <r>
    <x v="105"/>
    <x v="4"/>
    <s v="Rental Tech"/>
    <x v="3"/>
    <x v="13"/>
    <s v="Series B"/>
    <n v="12266000"/>
    <d v="2023-04-20T00:00:00"/>
    <x v="0"/>
    <s v="April"/>
    <n v="4"/>
    <x v="1"/>
    <x v="2"/>
    <x v="2"/>
  </r>
  <r>
    <x v="80"/>
    <x v="7"/>
    <s v="Payments"/>
    <x v="0"/>
    <x v="90"/>
    <s v="Pre-Seed"/>
    <n v="53000"/>
    <d v="2020-07-19T00:00:00"/>
    <x v="4"/>
    <s v="July"/>
    <n v="7"/>
    <x v="0"/>
    <x v="0"/>
    <x v="4"/>
  </r>
  <r>
    <x v="84"/>
    <x v="9"/>
    <s v="Last Mile"/>
    <x v="1"/>
    <x v="65"/>
    <s v="Pre-Seed"/>
    <n v="64000"/>
    <d v="2020-07-07T00:00:00"/>
    <x v="4"/>
    <s v="July"/>
    <n v="7"/>
    <x v="0"/>
    <x v="0"/>
    <x v="2"/>
  </r>
  <r>
    <x v="77"/>
    <x v="4"/>
    <s v="PropTech"/>
    <x v="0"/>
    <x v="14"/>
    <s v="Seed"/>
    <n v="122000"/>
    <d v="2023-05-23T00:00:00"/>
    <x v="0"/>
    <s v="May"/>
    <n v="5"/>
    <x v="0"/>
    <x v="0"/>
    <x v="2"/>
  </r>
  <r>
    <x v="125"/>
    <x v="1"/>
    <s v="Social"/>
    <x v="2"/>
    <x v="18"/>
    <s v="Seed"/>
    <n v="76000"/>
    <d v="2023-09-14T00:00:00"/>
    <x v="0"/>
    <s v="September"/>
    <n v="9"/>
    <x v="0"/>
    <x v="0"/>
    <x v="1"/>
  </r>
  <r>
    <x v="47"/>
    <x v="1"/>
    <s v="Streaming"/>
    <x v="7"/>
    <x v="47"/>
    <s v="Seed"/>
    <n v="476000"/>
    <d v="2024-05-17T00:00:00"/>
    <x v="3"/>
    <s v="May"/>
    <n v="5"/>
    <x v="0"/>
    <x v="0"/>
    <x v="1"/>
  </r>
  <r>
    <x v="112"/>
    <x v="8"/>
    <s v="B2B SaaS"/>
    <x v="2"/>
    <x v="39"/>
    <s v="Bridge"/>
    <n v="145000"/>
    <d v="2021-06-26T00:00:00"/>
    <x v="2"/>
    <s v="June"/>
    <n v="6"/>
    <x v="1"/>
    <x v="0"/>
    <x v="3"/>
  </r>
  <r>
    <x v="72"/>
    <x v="0"/>
    <s v="Coding Bootcamp"/>
    <x v="4"/>
    <x v="41"/>
    <s v="Series B"/>
    <n v="25052000"/>
    <d v="2020-08-10T00:00:00"/>
    <x v="4"/>
    <s v="August"/>
    <n v="8"/>
    <x v="1"/>
    <x v="2"/>
    <x v="0"/>
  </r>
  <r>
    <x v="126"/>
    <x v="0"/>
    <s v="Test Prep"/>
    <x v="5"/>
    <x v="19"/>
    <s v="Series B"/>
    <n v="7671000"/>
    <d v="2020-07-30T00:00:00"/>
    <x v="4"/>
    <s v="July"/>
    <n v="7"/>
    <x v="1"/>
    <x v="1"/>
    <x v="0"/>
  </r>
  <r>
    <x v="74"/>
    <x v="7"/>
    <s v="InsurTech"/>
    <x v="4"/>
    <x v="110"/>
    <s v="Series B"/>
    <n v="18981000"/>
    <d v="2020-01-02T00:00:00"/>
    <x v="4"/>
    <s v="January"/>
    <n v="1"/>
    <x v="1"/>
    <x v="2"/>
    <x v="4"/>
  </r>
  <r>
    <x v="98"/>
    <x v="8"/>
    <s v="MarTech"/>
    <x v="6"/>
    <x v="122"/>
    <s v="Pre-Seed"/>
    <n v="68000"/>
    <d v="2023-12-20T00:00:00"/>
    <x v="0"/>
    <s v="December"/>
    <n v="12"/>
    <x v="0"/>
    <x v="0"/>
    <x v="3"/>
  </r>
  <r>
    <x v="63"/>
    <x v="2"/>
    <s v="Ride Sharing"/>
    <x v="1"/>
    <x v="308"/>
    <s v="Pre-Series A"/>
    <n v="113000"/>
    <d v="2023-11-12T00:00:00"/>
    <x v="0"/>
    <s v="November"/>
    <n v="11"/>
    <x v="1"/>
    <x v="0"/>
    <x v="2"/>
  </r>
  <r>
    <x v="135"/>
    <x v="8"/>
    <s v="HRTech"/>
    <x v="9"/>
    <x v="309"/>
    <s v="Seed"/>
    <n v="173000"/>
    <d v="2025-05-17T00:00:00"/>
    <x v="1"/>
    <s v="May"/>
    <n v="5"/>
    <x v="0"/>
    <x v="0"/>
    <x v="3"/>
  </r>
  <r>
    <x v="89"/>
    <x v="5"/>
    <s v="Grocery"/>
    <x v="3"/>
    <x v="49"/>
    <s v="Seed"/>
    <n v="82000"/>
    <d v="2020-03-21T00:00:00"/>
    <x v="4"/>
    <s v="March"/>
    <n v="3"/>
    <x v="0"/>
    <x v="0"/>
    <x v="1"/>
  </r>
  <r>
    <x v="124"/>
    <x v="4"/>
    <s v="Rental Tech"/>
    <x v="7"/>
    <x v="310"/>
    <s v="Series A"/>
    <n v="1187000"/>
    <d v="2024-12-17T00:00:00"/>
    <x v="3"/>
    <s v="December"/>
    <n v="12"/>
    <x v="1"/>
    <x v="1"/>
    <x v="2"/>
  </r>
  <r>
    <x v="79"/>
    <x v="12"/>
    <s v="Supply Chain"/>
    <x v="5"/>
    <x v="311"/>
    <s v="Pre-Series A"/>
    <n v="977000"/>
    <d v="2024-06-11T00:00:00"/>
    <x v="3"/>
    <s v="June"/>
    <n v="6"/>
    <x v="1"/>
    <x v="0"/>
    <x v="2"/>
  </r>
  <r>
    <x v="102"/>
    <x v="7"/>
    <s v="Payments"/>
    <x v="7"/>
    <x v="312"/>
    <s v="Seed"/>
    <n v="164000"/>
    <d v="2024-06-01T00:00:00"/>
    <x v="3"/>
    <s v="June"/>
    <n v="6"/>
    <x v="0"/>
    <x v="0"/>
    <x v="4"/>
  </r>
  <r>
    <x v="114"/>
    <x v="11"/>
    <s v="Automation"/>
    <x v="4"/>
    <x v="29"/>
    <s v="Series B"/>
    <n v="47223000"/>
    <d v="2021-04-22T00:00:00"/>
    <x v="2"/>
    <s v="April"/>
    <n v="4"/>
    <x v="1"/>
    <x v="2"/>
    <x v="3"/>
  </r>
  <r>
    <x v="134"/>
    <x v="7"/>
    <s v="InsurTech"/>
    <x v="6"/>
    <x v="313"/>
    <s v="Pre-Seed"/>
    <n v="36000"/>
    <d v="2023-12-07T00:00:00"/>
    <x v="0"/>
    <s v="December"/>
    <n v="12"/>
    <x v="0"/>
    <x v="0"/>
    <x v="4"/>
  </r>
  <r>
    <x v="140"/>
    <x v="11"/>
    <s v="Analytics"/>
    <x v="5"/>
    <x v="314"/>
    <s v="Series A"/>
    <n v="6332000"/>
    <d v="2024-09-06T00:00:00"/>
    <x v="3"/>
    <s v="September"/>
    <n v="9"/>
    <x v="1"/>
    <x v="1"/>
    <x v="3"/>
  </r>
  <r>
    <x v="44"/>
    <x v="3"/>
    <s v="Smart Home"/>
    <x v="6"/>
    <x v="39"/>
    <s v="Seed"/>
    <n v="826000"/>
    <d v="2024-07-05T00:00:00"/>
    <x v="3"/>
    <s v="July"/>
    <n v="7"/>
    <x v="0"/>
    <x v="0"/>
    <x v="3"/>
  </r>
  <r>
    <x v="57"/>
    <x v="4"/>
    <s v="Rental Tech"/>
    <x v="8"/>
    <x v="98"/>
    <s v="Seed"/>
    <n v="450000"/>
    <d v="2024-09-09T00:00:00"/>
    <x v="3"/>
    <s v="September"/>
    <n v="9"/>
    <x v="0"/>
    <x v="0"/>
    <x v="2"/>
  </r>
  <r>
    <x v="113"/>
    <x v="8"/>
    <s v="B2B SaaS"/>
    <x v="0"/>
    <x v="271"/>
    <s v="Seed"/>
    <n v="285000"/>
    <d v="2024-03-31T00:00:00"/>
    <x v="3"/>
    <s v="March"/>
    <n v="3"/>
    <x v="0"/>
    <x v="0"/>
    <x v="3"/>
  </r>
  <r>
    <x v="53"/>
    <x v="3"/>
    <s v="Audio"/>
    <x v="6"/>
    <x v="88"/>
    <s v="Pre-Seed"/>
    <n v="52000"/>
    <d v="2020-07-23T00:00:00"/>
    <x v="4"/>
    <s v="July"/>
    <n v="7"/>
    <x v="0"/>
    <x v="0"/>
    <x v="3"/>
  </r>
  <r>
    <x v="90"/>
    <x v="13"/>
    <s v="Quick Commerce"/>
    <x v="1"/>
    <x v="315"/>
    <s v="Seed"/>
    <n v="181000"/>
    <d v="2020-07-01T00:00:00"/>
    <x v="4"/>
    <s v="July"/>
    <n v="7"/>
    <x v="0"/>
    <x v="0"/>
    <x v="1"/>
  </r>
  <r>
    <x v="2"/>
    <x v="0"/>
    <s v="K12"/>
    <x v="2"/>
    <x v="65"/>
    <s v="Series A"/>
    <n v="12394000"/>
    <d v="2022-04-23T00:00:00"/>
    <x v="5"/>
    <s v="April"/>
    <n v="4"/>
    <x v="1"/>
    <x v="2"/>
    <x v="0"/>
  </r>
  <r>
    <x v="91"/>
    <x v="1"/>
    <s v="Content"/>
    <x v="6"/>
    <x v="14"/>
    <s v="Bridge"/>
    <n v="1071000"/>
    <d v="2023-07-08T00:00:00"/>
    <x v="0"/>
    <s v="July"/>
    <n v="7"/>
    <x v="1"/>
    <x v="1"/>
    <x v="1"/>
  </r>
  <r>
    <x v="147"/>
    <x v="0"/>
    <s v="Test Prep"/>
    <x v="8"/>
    <x v="1"/>
    <s v="Bridge"/>
    <n v="1758000"/>
    <d v="2023-06-21T00:00:00"/>
    <x v="0"/>
    <s v="June"/>
    <n v="6"/>
    <x v="1"/>
    <x v="1"/>
    <x v="0"/>
  </r>
  <r>
    <x v="12"/>
    <x v="0"/>
    <s v="Coding Bootcamp"/>
    <x v="3"/>
    <x v="4"/>
    <s v="Seed"/>
    <n v="79000"/>
    <d v="2021-01-31T00:00:00"/>
    <x v="2"/>
    <s v="January"/>
    <n v="1"/>
    <x v="0"/>
    <x v="0"/>
    <x v="0"/>
  </r>
  <r>
    <x v="2"/>
    <x v="10"/>
    <s v="Telemedicine"/>
    <x v="1"/>
    <x v="39"/>
    <s v="Series B"/>
    <n v="37933000"/>
    <d v="2021-08-06T00:00:00"/>
    <x v="2"/>
    <s v="August"/>
    <n v="8"/>
    <x v="1"/>
    <x v="2"/>
    <x v="0"/>
  </r>
  <r>
    <x v="107"/>
    <x v="5"/>
    <s v="Grocery"/>
    <x v="1"/>
    <x v="316"/>
    <s v="Seed"/>
    <n v="1593000"/>
    <d v="2020-04-17T00:00:00"/>
    <x v="4"/>
    <s v="April"/>
    <n v="4"/>
    <x v="0"/>
    <x v="1"/>
    <x v="1"/>
  </r>
  <r>
    <x v="90"/>
    <x v="2"/>
    <s v="Ride Sharing"/>
    <x v="0"/>
    <x v="317"/>
    <s v="Angel"/>
    <n v="9000"/>
    <d v="2024-01-17T00:00:00"/>
    <x v="3"/>
    <s v="January"/>
    <n v="1"/>
    <x v="0"/>
    <x v="0"/>
    <x v="2"/>
  </r>
  <r>
    <x v="127"/>
    <x v="8"/>
    <s v="DevTools"/>
    <x v="0"/>
    <x v="98"/>
    <s v="Seed"/>
    <n v="64000"/>
    <d v="2020-07-19T00:00:00"/>
    <x v="4"/>
    <s v="July"/>
    <n v="7"/>
    <x v="0"/>
    <x v="0"/>
    <x v="3"/>
  </r>
  <r>
    <x v="103"/>
    <x v="0"/>
    <s v="Test Prep"/>
    <x v="5"/>
    <x v="2"/>
    <s v="Series A"/>
    <n v="7441000"/>
    <d v="2020-04-21T00:00:00"/>
    <x v="4"/>
    <s v="April"/>
    <n v="4"/>
    <x v="1"/>
    <x v="1"/>
    <x v="0"/>
  </r>
  <r>
    <x v="143"/>
    <x v="8"/>
    <s v="DevTools"/>
    <x v="5"/>
    <x v="6"/>
    <s v="Series B"/>
    <n v="24587000"/>
    <d v="2023-07-18T00:00:00"/>
    <x v="0"/>
    <s v="July"/>
    <n v="7"/>
    <x v="1"/>
    <x v="2"/>
    <x v="3"/>
  </r>
  <r>
    <x v="103"/>
    <x v="7"/>
    <s v="NeoBank"/>
    <x v="1"/>
    <x v="32"/>
    <s v="Seed"/>
    <n v="1116000"/>
    <d v="2020-08-15T00:00:00"/>
    <x v="4"/>
    <s v="August"/>
    <n v="8"/>
    <x v="0"/>
    <x v="1"/>
    <x v="4"/>
  </r>
  <r>
    <x v="87"/>
    <x v="9"/>
    <s v="Fleet Management"/>
    <x v="4"/>
    <x v="112"/>
    <s v="Series C"/>
    <n v="29202000"/>
    <d v="2023-07-30T00:00:00"/>
    <x v="0"/>
    <s v="July"/>
    <n v="7"/>
    <x v="2"/>
    <x v="2"/>
    <x v="2"/>
  </r>
  <r>
    <x v="22"/>
    <x v="11"/>
    <s v="Automation"/>
    <x v="5"/>
    <x v="61"/>
    <s v="Growth"/>
    <n v="407801000"/>
    <d v="2021-03-19T00:00:00"/>
    <x v="2"/>
    <s v="March"/>
    <n v="3"/>
    <x v="2"/>
    <x v="3"/>
    <x v="3"/>
  </r>
  <r>
    <x v="133"/>
    <x v="1"/>
    <s v="Social"/>
    <x v="3"/>
    <x v="138"/>
    <s v="Seed"/>
    <n v="105000"/>
    <d v="2023-04-01T00:00:00"/>
    <x v="0"/>
    <s v="April"/>
    <n v="4"/>
    <x v="0"/>
    <x v="0"/>
    <x v="1"/>
  </r>
  <r>
    <x v="18"/>
    <x v="7"/>
    <s v="InsurTech"/>
    <x v="1"/>
    <x v="318"/>
    <s v="Pre-Seed"/>
    <n v="29000"/>
    <d v="2022-08-21T00:00:00"/>
    <x v="5"/>
    <s v="August"/>
    <n v="8"/>
    <x v="0"/>
    <x v="0"/>
    <x v="4"/>
  </r>
  <r>
    <x v="144"/>
    <x v="1"/>
    <s v="Social"/>
    <x v="5"/>
    <x v="304"/>
    <s v="Series A"/>
    <n v="1560000"/>
    <d v="2020-06-19T00:00:00"/>
    <x v="4"/>
    <s v="June"/>
    <n v="6"/>
    <x v="1"/>
    <x v="1"/>
    <x v="1"/>
  </r>
  <r>
    <x v="20"/>
    <x v="0"/>
    <s v="K12"/>
    <x v="7"/>
    <x v="29"/>
    <s v="Seed"/>
    <n v="1009000"/>
    <d v="2023-08-19T00:00:00"/>
    <x v="0"/>
    <s v="August"/>
    <n v="8"/>
    <x v="0"/>
    <x v="1"/>
    <x v="0"/>
  </r>
  <r>
    <x v="140"/>
    <x v="10"/>
    <s v="Health Analytics"/>
    <x v="6"/>
    <x v="319"/>
    <s v="Series B"/>
    <n v="31619000"/>
    <d v="2020-02-19T00:00:00"/>
    <x v="4"/>
    <s v="February"/>
    <n v="2"/>
    <x v="1"/>
    <x v="2"/>
    <x v="0"/>
  </r>
  <r>
    <x v="58"/>
    <x v="11"/>
    <s v="Security"/>
    <x v="5"/>
    <x v="320"/>
    <s v="Series B"/>
    <n v="21321000"/>
    <d v="2020-01-03T00:00:00"/>
    <x v="4"/>
    <s v="January"/>
    <n v="1"/>
    <x v="1"/>
    <x v="2"/>
    <x v="3"/>
  </r>
  <r>
    <x v="122"/>
    <x v="5"/>
    <s v="Grocery"/>
    <x v="6"/>
    <x v="4"/>
    <s v="Series A"/>
    <n v="2643000"/>
    <d v="2024-06-15T00:00:00"/>
    <x v="3"/>
    <s v="June"/>
    <n v="6"/>
    <x v="1"/>
    <x v="1"/>
    <x v="1"/>
  </r>
  <r>
    <x v="89"/>
    <x v="8"/>
    <s v="B2B SaaS"/>
    <x v="8"/>
    <x v="138"/>
    <s v="Bridge"/>
    <n v="1271000"/>
    <d v="2023-10-13T00:00:00"/>
    <x v="0"/>
    <s v="October"/>
    <n v="10"/>
    <x v="1"/>
    <x v="1"/>
    <x v="3"/>
  </r>
  <r>
    <x v="136"/>
    <x v="6"/>
    <s v="Food Delivery"/>
    <x v="5"/>
    <x v="7"/>
    <s v="Series A"/>
    <n v="2894000"/>
    <d v="2022-01-18T00:00:00"/>
    <x v="5"/>
    <s v="January"/>
    <n v="1"/>
    <x v="1"/>
    <x v="1"/>
    <x v="1"/>
  </r>
  <r>
    <x v="63"/>
    <x v="2"/>
    <s v="Micro Mobility"/>
    <x v="3"/>
    <x v="41"/>
    <s v="Seed"/>
    <n v="1017000"/>
    <d v="2021-11-16T00:00:00"/>
    <x v="2"/>
    <s v="November"/>
    <n v="11"/>
    <x v="0"/>
    <x v="1"/>
    <x v="2"/>
  </r>
  <r>
    <x v="144"/>
    <x v="5"/>
    <s v="Fashion"/>
    <x v="3"/>
    <x v="103"/>
    <s v="Series C"/>
    <n v="65689000"/>
    <d v="2024-04-07T00:00:00"/>
    <x v="3"/>
    <s v="April"/>
    <n v="4"/>
    <x v="2"/>
    <x v="2"/>
    <x v="1"/>
  </r>
  <r>
    <x v="98"/>
    <x v="6"/>
    <s v="Food Delivery"/>
    <x v="1"/>
    <x v="321"/>
    <s v="Seed"/>
    <n v="201000"/>
    <d v="2021-12-08T00:00:00"/>
    <x v="2"/>
    <s v="December"/>
    <n v="12"/>
    <x v="0"/>
    <x v="0"/>
    <x v="1"/>
  </r>
  <r>
    <x v="27"/>
    <x v="2"/>
    <s v="Micro Mobility"/>
    <x v="8"/>
    <x v="322"/>
    <s v="Angel"/>
    <n v="20000"/>
    <d v="2022-07-14T00:00:00"/>
    <x v="5"/>
    <s v="July"/>
    <n v="7"/>
    <x v="0"/>
    <x v="0"/>
    <x v="2"/>
  </r>
  <r>
    <x v="128"/>
    <x v="0"/>
    <s v="Coding Bootcamp"/>
    <x v="0"/>
    <x v="47"/>
    <s v="Seed"/>
    <n v="152000"/>
    <d v="2025-01-12T00:00:00"/>
    <x v="1"/>
    <s v="January"/>
    <n v="1"/>
    <x v="0"/>
    <x v="0"/>
    <x v="0"/>
  </r>
  <r>
    <x v="34"/>
    <x v="13"/>
    <s v="Marketplace"/>
    <x v="2"/>
    <x v="323"/>
    <s v="Seed"/>
    <n v="788000"/>
    <d v="2020-10-30T00:00:00"/>
    <x v="4"/>
    <s v="October"/>
    <n v="10"/>
    <x v="0"/>
    <x v="0"/>
    <x v="1"/>
  </r>
  <r>
    <x v="56"/>
    <x v="4"/>
    <s v="Rental Tech"/>
    <x v="4"/>
    <x v="169"/>
    <s v="Series A"/>
    <n v="3902000"/>
    <d v="2022-05-10T00:00:00"/>
    <x v="5"/>
    <s v="May"/>
    <n v="5"/>
    <x v="1"/>
    <x v="1"/>
    <x v="2"/>
  </r>
  <r>
    <x v="158"/>
    <x v="11"/>
    <s v="Analytics"/>
    <x v="8"/>
    <x v="115"/>
    <s v="Series B"/>
    <n v="9519000"/>
    <d v="2022-04-23T00:00:00"/>
    <x v="5"/>
    <s v="April"/>
    <n v="4"/>
    <x v="1"/>
    <x v="1"/>
    <x v="3"/>
  </r>
  <r>
    <x v="70"/>
    <x v="4"/>
    <s v="Rental Tech"/>
    <x v="8"/>
    <x v="324"/>
    <s v="Series D"/>
    <n v="396775000"/>
    <d v="2022-06-30T00:00:00"/>
    <x v="5"/>
    <s v="June"/>
    <n v="6"/>
    <x v="2"/>
    <x v="3"/>
    <x v="2"/>
  </r>
  <r>
    <x v="140"/>
    <x v="10"/>
    <s v="Pharmacy"/>
    <x v="3"/>
    <x v="4"/>
    <s v="Series A"/>
    <n v="2828000"/>
    <d v="2025-06-11T00:00:00"/>
    <x v="1"/>
    <s v="June"/>
    <n v="6"/>
    <x v="1"/>
    <x v="1"/>
    <x v="0"/>
  </r>
  <r>
    <x v="117"/>
    <x v="10"/>
    <s v="Pharmacy"/>
    <x v="2"/>
    <x v="325"/>
    <s v="Series A"/>
    <n v="4358000"/>
    <d v="2020-12-06T00:00:00"/>
    <x v="4"/>
    <s v="December"/>
    <n v="12"/>
    <x v="1"/>
    <x v="1"/>
    <x v="0"/>
  </r>
  <r>
    <x v="29"/>
    <x v="10"/>
    <s v="Diagnostics"/>
    <x v="4"/>
    <x v="41"/>
    <s v="Seed"/>
    <n v="1416000"/>
    <d v="2020-03-25T00:00:00"/>
    <x v="4"/>
    <s v="March"/>
    <n v="3"/>
    <x v="0"/>
    <x v="1"/>
    <x v="0"/>
  </r>
  <r>
    <x v="60"/>
    <x v="9"/>
    <s v="Supply Chain"/>
    <x v="4"/>
    <x v="110"/>
    <s v="Seed"/>
    <n v="500000"/>
    <d v="2023-12-19T00:00:00"/>
    <x v="0"/>
    <s v="December"/>
    <n v="12"/>
    <x v="0"/>
    <x v="0"/>
    <x v="2"/>
  </r>
  <r>
    <x v="116"/>
    <x v="3"/>
    <s v="Smart Home"/>
    <x v="4"/>
    <x v="86"/>
    <s v="Series A"/>
    <n v="1372000"/>
    <d v="2020-09-05T00:00:00"/>
    <x v="4"/>
    <s v="September"/>
    <n v="9"/>
    <x v="1"/>
    <x v="1"/>
    <x v="3"/>
  </r>
  <r>
    <x v="59"/>
    <x v="5"/>
    <s v="E-Retail"/>
    <x v="5"/>
    <x v="6"/>
    <s v="Angel"/>
    <n v="84000"/>
    <d v="2020-11-15T00:00:00"/>
    <x v="4"/>
    <s v="November"/>
    <n v="11"/>
    <x v="0"/>
    <x v="0"/>
    <x v="1"/>
  </r>
  <r>
    <x v="12"/>
    <x v="8"/>
    <s v="HRTech"/>
    <x v="5"/>
    <x v="278"/>
    <s v="Angel"/>
    <n v="33000"/>
    <d v="2025-06-08T00:00:00"/>
    <x v="1"/>
    <s v="June"/>
    <n v="6"/>
    <x v="0"/>
    <x v="0"/>
    <x v="3"/>
  </r>
  <r>
    <x v="5"/>
    <x v="8"/>
    <s v="B2B SaaS"/>
    <x v="5"/>
    <x v="326"/>
    <s v="Angel"/>
    <n v="14000"/>
    <d v="2020-10-12T00:00:00"/>
    <x v="4"/>
    <s v="October"/>
    <n v="10"/>
    <x v="0"/>
    <x v="0"/>
    <x v="3"/>
  </r>
  <r>
    <x v="84"/>
    <x v="13"/>
    <s v="D2C"/>
    <x v="1"/>
    <x v="327"/>
    <s v="Series A"/>
    <n v="1458000"/>
    <d v="2021-02-03T00:00:00"/>
    <x v="2"/>
    <s v="February"/>
    <n v="2"/>
    <x v="1"/>
    <x v="1"/>
    <x v="1"/>
  </r>
  <r>
    <x v="23"/>
    <x v="13"/>
    <s v="Grocery"/>
    <x v="5"/>
    <x v="6"/>
    <s v="Series B"/>
    <n v="45193000"/>
    <d v="2025-05-15T00:00:00"/>
    <x v="1"/>
    <s v="May"/>
    <n v="5"/>
    <x v="1"/>
    <x v="2"/>
    <x v="1"/>
  </r>
  <r>
    <x v="105"/>
    <x v="8"/>
    <s v="B2B SaaS"/>
    <x v="7"/>
    <x v="14"/>
    <s v="Pre-Series A"/>
    <n v="417000"/>
    <d v="2024-01-06T00:00:00"/>
    <x v="3"/>
    <s v="January"/>
    <n v="1"/>
    <x v="1"/>
    <x v="0"/>
    <x v="3"/>
  </r>
  <r>
    <x v="49"/>
    <x v="9"/>
    <s v="Supply Chain"/>
    <x v="8"/>
    <x v="166"/>
    <s v="Seed"/>
    <n v="358000"/>
    <d v="2024-01-30T00:00:00"/>
    <x v="3"/>
    <s v="January"/>
    <n v="1"/>
    <x v="0"/>
    <x v="0"/>
    <x v="2"/>
  </r>
  <r>
    <x v="5"/>
    <x v="9"/>
    <s v="Last Mile"/>
    <x v="9"/>
    <x v="69"/>
    <s v="Series B"/>
    <n v="59611000"/>
    <d v="2022-04-28T00:00:00"/>
    <x v="5"/>
    <s v="April"/>
    <n v="4"/>
    <x v="1"/>
    <x v="2"/>
    <x v="2"/>
  </r>
  <r>
    <x v="46"/>
    <x v="10"/>
    <s v="Diagnostics"/>
    <x v="2"/>
    <x v="209"/>
    <s v="Series A"/>
    <n v="8462000"/>
    <d v="2024-11-11T00:00:00"/>
    <x v="3"/>
    <s v="November"/>
    <n v="11"/>
    <x v="1"/>
    <x v="1"/>
    <x v="0"/>
  </r>
  <r>
    <x v="45"/>
    <x v="6"/>
    <s v="Grocery"/>
    <x v="2"/>
    <x v="304"/>
    <s v="Pre-Series A"/>
    <n v="142000"/>
    <d v="2023-02-12T00:00:00"/>
    <x v="0"/>
    <s v="February"/>
    <n v="2"/>
    <x v="1"/>
    <x v="0"/>
    <x v="1"/>
  </r>
  <r>
    <x v="92"/>
    <x v="11"/>
    <s v="Security"/>
    <x v="2"/>
    <x v="69"/>
    <s v="Series A"/>
    <n v="2326000"/>
    <d v="2020-03-27T00:00:00"/>
    <x v="4"/>
    <s v="March"/>
    <n v="3"/>
    <x v="1"/>
    <x v="1"/>
    <x v="3"/>
  </r>
  <r>
    <x v="71"/>
    <x v="3"/>
    <s v="Smart Home"/>
    <x v="5"/>
    <x v="7"/>
    <s v="Seed"/>
    <n v="125000"/>
    <d v="2024-06-08T00:00:00"/>
    <x v="3"/>
    <s v="June"/>
    <n v="6"/>
    <x v="0"/>
    <x v="0"/>
    <x v="3"/>
  </r>
  <r>
    <x v="64"/>
    <x v="4"/>
    <s v="Rental Tech"/>
    <x v="5"/>
    <x v="86"/>
    <s v="Seed"/>
    <n v="778000"/>
    <d v="2023-09-25T00:00:00"/>
    <x v="0"/>
    <s v="September"/>
    <n v="9"/>
    <x v="0"/>
    <x v="0"/>
    <x v="2"/>
  </r>
  <r>
    <x v="72"/>
    <x v="4"/>
    <s v="PropTech"/>
    <x v="1"/>
    <x v="209"/>
    <s v="Seed"/>
    <n v="57000"/>
    <d v="2021-07-21T00:00:00"/>
    <x v="2"/>
    <s v="July"/>
    <n v="7"/>
    <x v="0"/>
    <x v="0"/>
    <x v="2"/>
  </r>
  <r>
    <x v="96"/>
    <x v="12"/>
    <s v="Smart Farming"/>
    <x v="6"/>
    <x v="328"/>
    <s v="Series A"/>
    <n v="4680000"/>
    <d v="2021-06-12T00:00:00"/>
    <x v="2"/>
    <s v="June"/>
    <n v="6"/>
    <x v="1"/>
    <x v="1"/>
    <x v="2"/>
  </r>
  <r>
    <x v="141"/>
    <x v="12"/>
    <s v="Supply Chain"/>
    <x v="2"/>
    <x v="103"/>
    <s v="Seed"/>
    <n v="833000"/>
    <d v="2020-04-29T00:00:00"/>
    <x v="4"/>
    <s v="April"/>
    <n v="4"/>
    <x v="0"/>
    <x v="0"/>
    <x v="2"/>
  </r>
  <r>
    <x v="129"/>
    <x v="7"/>
    <s v="WealthTech"/>
    <x v="7"/>
    <x v="19"/>
    <s v="Pre-Series A"/>
    <n v="753000"/>
    <d v="2025-02-10T00:00:00"/>
    <x v="1"/>
    <s v="February"/>
    <n v="2"/>
    <x v="1"/>
    <x v="0"/>
    <x v="4"/>
  </r>
  <r>
    <x v="95"/>
    <x v="2"/>
    <s v="Micro Mobility"/>
    <x v="0"/>
    <x v="329"/>
    <s v="Series A"/>
    <n v="2525000"/>
    <d v="2024-04-18T00:00:00"/>
    <x v="3"/>
    <s v="April"/>
    <n v="4"/>
    <x v="1"/>
    <x v="1"/>
    <x v="2"/>
  </r>
  <r>
    <x v="99"/>
    <x v="11"/>
    <s v="Automation"/>
    <x v="2"/>
    <x v="187"/>
    <s v="Seed"/>
    <n v="1034000"/>
    <d v="2023-11-30T00:00:00"/>
    <x v="0"/>
    <s v="November"/>
    <n v="11"/>
    <x v="0"/>
    <x v="1"/>
    <x v="3"/>
  </r>
  <r>
    <x v="159"/>
    <x v="2"/>
    <s v="EV"/>
    <x v="7"/>
    <x v="138"/>
    <s v="Series C"/>
    <n v="26986000"/>
    <d v="2022-04-23T00:00:00"/>
    <x v="5"/>
    <s v="April"/>
    <n v="4"/>
    <x v="2"/>
    <x v="2"/>
    <x v="2"/>
  </r>
  <r>
    <x v="93"/>
    <x v="13"/>
    <s v="Marketplace"/>
    <x v="4"/>
    <x v="4"/>
    <s v="Series A"/>
    <n v="9897000"/>
    <d v="2024-08-30T00:00:00"/>
    <x v="3"/>
    <s v="August"/>
    <n v="8"/>
    <x v="1"/>
    <x v="1"/>
    <x v="1"/>
  </r>
  <r>
    <x v="44"/>
    <x v="6"/>
    <s v="Food Delivery"/>
    <x v="0"/>
    <x v="61"/>
    <s v="Seed"/>
    <n v="80000"/>
    <d v="2020-09-25T00:00:00"/>
    <x v="4"/>
    <s v="September"/>
    <n v="9"/>
    <x v="0"/>
    <x v="0"/>
    <x v="1"/>
  </r>
  <r>
    <x v="61"/>
    <x v="10"/>
    <s v="Health Analytics"/>
    <x v="6"/>
    <x v="7"/>
    <s v="Series A"/>
    <n v="2933000"/>
    <d v="2025-06-09T00:00:00"/>
    <x v="1"/>
    <s v="June"/>
    <n v="6"/>
    <x v="1"/>
    <x v="1"/>
    <x v="0"/>
  </r>
  <r>
    <x v="71"/>
    <x v="7"/>
    <s v="Payments"/>
    <x v="3"/>
    <x v="110"/>
    <s v="Seed"/>
    <n v="947000"/>
    <d v="2023-11-22T00:00:00"/>
    <x v="0"/>
    <s v="November"/>
    <n v="11"/>
    <x v="0"/>
    <x v="0"/>
    <x v="4"/>
  </r>
  <r>
    <x v="140"/>
    <x v="10"/>
    <s v="Diagnostics"/>
    <x v="4"/>
    <x v="330"/>
    <s v="Debt"/>
    <n v="254000"/>
    <d v="2022-05-20T00:00:00"/>
    <x v="5"/>
    <s v="May"/>
    <n v="5"/>
    <x v="2"/>
    <x v="0"/>
    <x v="0"/>
  </r>
  <r>
    <x v="62"/>
    <x v="7"/>
    <s v="Lending"/>
    <x v="0"/>
    <x v="331"/>
    <s v="Pre-Seed"/>
    <n v="34000"/>
    <d v="2023-09-13T00:00:00"/>
    <x v="0"/>
    <s v="September"/>
    <n v="9"/>
    <x v="0"/>
    <x v="0"/>
    <x v="4"/>
  </r>
  <r>
    <x v="160"/>
    <x v="9"/>
    <s v="Fleet Management"/>
    <x v="1"/>
    <x v="138"/>
    <s v="Series C"/>
    <n v="141405000"/>
    <d v="2024-05-21T00:00:00"/>
    <x v="3"/>
    <s v="May"/>
    <n v="5"/>
    <x v="2"/>
    <x v="3"/>
    <x v="2"/>
  </r>
  <r>
    <x v="11"/>
    <x v="0"/>
    <s v="K12"/>
    <x v="7"/>
    <x v="332"/>
    <s v="Pre-Seed"/>
    <n v="105000"/>
    <d v="2020-10-25T00:00:00"/>
    <x v="4"/>
    <s v="October"/>
    <n v="10"/>
    <x v="0"/>
    <x v="0"/>
    <x v="0"/>
  </r>
  <r>
    <x v="93"/>
    <x v="11"/>
    <s v="Automation"/>
    <x v="6"/>
    <x v="17"/>
    <s v="Seed"/>
    <n v="532000"/>
    <d v="2023-03-13T00:00:00"/>
    <x v="0"/>
    <s v="March"/>
    <n v="3"/>
    <x v="0"/>
    <x v="0"/>
    <x v="3"/>
  </r>
  <r>
    <x v="133"/>
    <x v="1"/>
    <s v="Social"/>
    <x v="2"/>
    <x v="333"/>
    <s v="Seed"/>
    <n v="647000"/>
    <d v="2024-03-24T00:00:00"/>
    <x v="3"/>
    <s v="March"/>
    <n v="3"/>
    <x v="0"/>
    <x v="0"/>
    <x v="1"/>
  </r>
  <r>
    <x v="130"/>
    <x v="2"/>
    <s v="Micro Mobility"/>
    <x v="5"/>
    <x v="39"/>
    <s v="Pre-Series A"/>
    <n v="349000"/>
    <d v="2023-04-22T00:00:00"/>
    <x v="0"/>
    <s v="April"/>
    <n v="4"/>
    <x v="1"/>
    <x v="0"/>
    <x v="2"/>
  </r>
  <r>
    <x v="4"/>
    <x v="8"/>
    <s v="MarTech"/>
    <x v="9"/>
    <x v="280"/>
    <s v="Seed"/>
    <n v="127000"/>
    <d v="2021-04-11T00:00:00"/>
    <x v="2"/>
    <s v="April"/>
    <n v="4"/>
    <x v="0"/>
    <x v="0"/>
    <x v="3"/>
  </r>
  <r>
    <x v="27"/>
    <x v="2"/>
    <s v="Ride Sharing"/>
    <x v="5"/>
    <x v="41"/>
    <s v="Series C"/>
    <n v="51004000"/>
    <d v="2023-12-14T00:00:00"/>
    <x v="0"/>
    <s v="December"/>
    <n v="12"/>
    <x v="2"/>
    <x v="2"/>
    <x v="2"/>
  </r>
  <r>
    <x v="55"/>
    <x v="13"/>
    <s v="D2C"/>
    <x v="5"/>
    <x v="317"/>
    <s v="Seed"/>
    <n v="98000"/>
    <d v="2021-08-03T00:00:00"/>
    <x v="2"/>
    <s v="August"/>
    <n v="8"/>
    <x v="0"/>
    <x v="0"/>
    <x v="1"/>
  </r>
  <r>
    <x v="5"/>
    <x v="0"/>
    <s v="Coding Bootcamp"/>
    <x v="2"/>
    <x v="1"/>
    <s v="Debt"/>
    <n v="28306000"/>
    <d v="2022-05-26T00:00:00"/>
    <x v="5"/>
    <s v="May"/>
    <n v="5"/>
    <x v="2"/>
    <x v="2"/>
    <x v="0"/>
  </r>
  <r>
    <x v="2"/>
    <x v="8"/>
    <s v="DevTools"/>
    <x v="1"/>
    <x v="222"/>
    <s v="Debt"/>
    <n v="3755000"/>
    <d v="2022-10-03T00:00:00"/>
    <x v="5"/>
    <s v="October"/>
    <n v="10"/>
    <x v="2"/>
    <x v="1"/>
    <x v="3"/>
  </r>
  <r>
    <x v="123"/>
    <x v="6"/>
    <s v="Food Delivery"/>
    <x v="6"/>
    <x v="19"/>
    <s v="Bridge"/>
    <n v="219000"/>
    <d v="2024-02-27T00:00:00"/>
    <x v="3"/>
    <s v="February"/>
    <n v="2"/>
    <x v="1"/>
    <x v="0"/>
    <x v="1"/>
  </r>
  <r>
    <x v="127"/>
    <x v="12"/>
    <s v="Smart Farming"/>
    <x v="0"/>
    <x v="334"/>
    <s v="Seed"/>
    <n v="275000"/>
    <d v="2022-05-19T00:00:00"/>
    <x v="5"/>
    <s v="May"/>
    <n v="5"/>
    <x v="0"/>
    <x v="0"/>
    <x v="2"/>
  </r>
  <r>
    <x v="38"/>
    <x v="5"/>
    <s v="Fashion"/>
    <x v="9"/>
    <x v="199"/>
    <s v="Pre-Series A"/>
    <n v="886000"/>
    <d v="2023-09-27T00:00:00"/>
    <x v="0"/>
    <s v="September"/>
    <n v="9"/>
    <x v="1"/>
    <x v="0"/>
    <x v="1"/>
  </r>
  <r>
    <x v="23"/>
    <x v="3"/>
    <s v="Audio"/>
    <x v="0"/>
    <x v="18"/>
    <s v="Seed"/>
    <n v="88000"/>
    <d v="2022-10-15T00:00:00"/>
    <x v="5"/>
    <s v="October"/>
    <n v="10"/>
    <x v="0"/>
    <x v="0"/>
    <x v="3"/>
  </r>
  <r>
    <x v="161"/>
    <x v="1"/>
    <s v="Social"/>
    <x v="0"/>
    <x v="14"/>
    <s v="Series A"/>
    <n v="4892000"/>
    <d v="2020-02-24T00:00:00"/>
    <x v="4"/>
    <s v="February"/>
    <n v="2"/>
    <x v="1"/>
    <x v="1"/>
    <x v="1"/>
  </r>
  <r>
    <x v="70"/>
    <x v="12"/>
    <s v="Marketplace"/>
    <x v="0"/>
    <x v="335"/>
    <s v="Series C"/>
    <n v="78705000"/>
    <d v="2023-09-15T00:00:00"/>
    <x v="0"/>
    <s v="September"/>
    <n v="9"/>
    <x v="2"/>
    <x v="2"/>
    <x v="2"/>
  </r>
  <r>
    <x v="103"/>
    <x v="3"/>
    <s v="Wearables"/>
    <x v="8"/>
    <x v="200"/>
    <s v="Seed"/>
    <n v="477000"/>
    <d v="2021-12-04T00:00:00"/>
    <x v="2"/>
    <s v="December"/>
    <n v="12"/>
    <x v="0"/>
    <x v="0"/>
    <x v="3"/>
  </r>
  <r>
    <x v="122"/>
    <x v="13"/>
    <s v="Fashion"/>
    <x v="5"/>
    <x v="284"/>
    <s v="Seed"/>
    <n v="53000"/>
    <d v="2022-02-09T00:00:00"/>
    <x v="5"/>
    <s v="February"/>
    <n v="2"/>
    <x v="0"/>
    <x v="0"/>
    <x v="1"/>
  </r>
  <r>
    <x v="71"/>
    <x v="1"/>
    <s v="Social"/>
    <x v="5"/>
    <x v="336"/>
    <s v="Series A"/>
    <n v="10610000"/>
    <d v="2021-10-01T00:00:00"/>
    <x v="2"/>
    <s v="October"/>
    <n v="10"/>
    <x v="1"/>
    <x v="2"/>
    <x v="1"/>
  </r>
  <r>
    <x v="72"/>
    <x v="4"/>
    <s v="Rental Tech"/>
    <x v="6"/>
    <x v="13"/>
    <s v="Series A"/>
    <n v="12481000"/>
    <d v="2023-02-25T00:00:00"/>
    <x v="0"/>
    <s v="February"/>
    <n v="2"/>
    <x v="1"/>
    <x v="2"/>
    <x v="2"/>
  </r>
  <r>
    <x v="105"/>
    <x v="12"/>
    <s v="Smart Farming"/>
    <x v="6"/>
    <x v="103"/>
    <s v="Series B"/>
    <n v="23958000"/>
    <d v="2024-04-18T00:00:00"/>
    <x v="3"/>
    <s v="April"/>
    <n v="4"/>
    <x v="1"/>
    <x v="2"/>
    <x v="2"/>
  </r>
  <r>
    <x v="145"/>
    <x v="12"/>
    <s v="Supply Chain"/>
    <x v="4"/>
    <x v="337"/>
    <s v="Series D"/>
    <n v="248669000"/>
    <d v="2021-12-15T00:00:00"/>
    <x v="2"/>
    <s v="December"/>
    <n v="12"/>
    <x v="2"/>
    <x v="3"/>
    <x v="2"/>
  </r>
  <r>
    <x v="51"/>
    <x v="8"/>
    <s v="HRTech"/>
    <x v="9"/>
    <x v="57"/>
    <s v="Pre-Series A"/>
    <n v="837000"/>
    <d v="2023-09-16T00:00:00"/>
    <x v="0"/>
    <s v="September"/>
    <n v="9"/>
    <x v="1"/>
    <x v="0"/>
    <x v="3"/>
  </r>
  <r>
    <x v="61"/>
    <x v="1"/>
    <s v="Social"/>
    <x v="2"/>
    <x v="13"/>
    <s v="Seed"/>
    <n v="679000"/>
    <d v="2020-12-13T00:00:00"/>
    <x v="4"/>
    <s v="December"/>
    <n v="12"/>
    <x v="0"/>
    <x v="0"/>
    <x v="1"/>
  </r>
  <r>
    <x v="91"/>
    <x v="11"/>
    <s v="Security"/>
    <x v="6"/>
    <x v="29"/>
    <s v="Series A"/>
    <n v="1511000"/>
    <d v="2022-05-12T00:00:00"/>
    <x v="5"/>
    <s v="May"/>
    <n v="5"/>
    <x v="1"/>
    <x v="1"/>
    <x v="3"/>
  </r>
  <r>
    <x v="106"/>
    <x v="8"/>
    <s v="MarTech"/>
    <x v="6"/>
    <x v="69"/>
    <s v="Pre-Series A"/>
    <n v="377000"/>
    <d v="2023-03-18T00:00:00"/>
    <x v="0"/>
    <s v="March"/>
    <n v="3"/>
    <x v="1"/>
    <x v="0"/>
    <x v="3"/>
  </r>
  <r>
    <x v="52"/>
    <x v="1"/>
    <s v="Streaming"/>
    <x v="3"/>
    <x v="338"/>
    <s v="Seed"/>
    <n v="469000"/>
    <d v="2022-10-26T00:00:00"/>
    <x v="5"/>
    <s v="October"/>
    <n v="10"/>
    <x v="0"/>
    <x v="0"/>
    <x v="1"/>
  </r>
  <r>
    <x v="137"/>
    <x v="4"/>
    <s v="PropTech"/>
    <x v="8"/>
    <x v="47"/>
    <s v="Seed"/>
    <n v="239000"/>
    <d v="2021-06-27T00:00:00"/>
    <x v="2"/>
    <s v="June"/>
    <n v="6"/>
    <x v="0"/>
    <x v="0"/>
    <x v="2"/>
  </r>
  <r>
    <x v="57"/>
    <x v="12"/>
    <s v="Marketplace"/>
    <x v="0"/>
    <x v="79"/>
    <s v="Series B"/>
    <n v="38525000"/>
    <d v="2023-03-30T00:00:00"/>
    <x v="0"/>
    <s v="March"/>
    <n v="3"/>
    <x v="1"/>
    <x v="2"/>
    <x v="2"/>
  </r>
  <r>
    <x v="162"/>
    <x v="5"/>
    <s v="Fashion"/>
    <x v="5"/>
    <x v="18"/>
    <s v="Pre-Series A"/>
    <n v="860000"/>
    <d v="2021-12-12T00:00:00"/>
    <x v="2"/>
    <s v="December"/>
    <n v="12"/>
    <x v="1"/>
    <x v="0"/>
    <x v="1"/>
  </r>
  <r>
    <x v="71"/>
    <x v="2"/>
    <s v="EV"/>
    <x v="9"/>
    <x v="86"/>
    <s v="Series B"/>
    <n v="65083000"/>
    <d v="2021-10-03T00:00:00"/>
    <x v="2"/>
    <s v="October"/>
    <n v="10"/>
    <x v="1"/>
    <x v="2"/>
    <x v="2"/>
  </r>
  <r>
    <x v="74"/>
    <x v="3"/>
    <s v="Smart Home"/>
    <x v="8"/>
    <x v="339"/>
    <s v="Seed"/>
    <n v="264000"/>
    <d v="2020-02-08T00:00:00"/>
    <x v="4"/>
    <s v="February"/>
    <n v="2"/>
    <x v="0"/>
    <x v="0"/>
    <x v="3"/>
  </r>
  <r>
    <x v="130"/>
    <x v="4"/>
    <s v="Rental Tech"/>
    <x v="5"/>
    <x v="232"/>
    <s v="Seed"/>
    <n v="76000"/>
    <d v="2023-07-30T00:00:00"/>
    <x v="0"/>
    <s v="July"/>
    <n v="7"/>
    <x v="0"/>
    <x v="0"/>
    <x v="2"/>
  </r>
  <r>
    <x v="137"/>
    <x v="1"/>
    <s v="Streaming"/>
    <x v="1"/>
    <x v="64"/>
    <s v="Series A"/>
    <n v="14397000"/>
    <d v="2022-01-16T00:00:00"/>
    <x v="5"/>
    <s v="January"/>
    <n v="1"/>
    <x v="1"/>
    <x v="2"/>
    <x v="1"/>
  </r>
  <r>
    <x v="64"/>
    <x v="11"/>
    <s v="Security"/>
    <x v="9"/>
    <x v="18"/>
    <s v="Seed"/>
    <n v="1104000"/>
    <d v="2024-08-27T00:00:00"/>
    <x v="3"/>
    <s v="August"/>
    <n v="8"/>
    <x v="0"/>
    <x v="1"/>
    <x v="3"/>
  </r>
  <r>
    <x v="110"/>
    <x v="9"/>
    <s v="Supply Chain"/>
    <x v="4"/>
    <x v="86"/>
    <s v="Seed"/>
    <n v="79000"/>
    <d v="2023-05-16T00:00:00"/>
    <x v="0"/>
    <s v="May"/>
    <n v="5"/>
    <x v="0"/>
    <x v="0"/>
    <x v="2"/>
  </r>
  <r>
    <x v="44"/>
    <x v="10"/>
    <s v="Diagnostics"/>
    <x v="1"/>
    <x v="61"/>
    <s v="Seed"/>
    <n v="1494000"/>
    <d v="2024-08-21T00:00:00"/>
    <x v="3"/>
    <s v="August"/>
    <n v="8"/>
    <x v="0"/>
    <x v="1"/>
    <x v="0"/>
  </r>
  <r>
    <x v="137"/>
    <x v="7"/>
    <s v="Lending"/>
    <x v="4"/>
    <x v="4"/>
    <s v="Seed"/>
    <n v="1238000"/>
    <d v="2020-02-29T00:00:00"/>
    <x v="4"/>
    <s v="February"/>
    <n v="2"/>
    <x v="0"/>
    <x v="1"/>
    <x v="4"/>
  </r>
  <r>
    <x v="23"/>
    <x v="10"/>
    <s v="Telemedicine"/>
    <x v="5"/>
    <x v="103"/>
    <s v="Series C"/>
    <n v="81514000"/>
    <d v="2020-04-23T00:00:00"/>
    <x v="4"/>
    <s v="April"/>
    <n v="4"/>
    <x v="2"/>
    <x v="2"/>
    <x v="0"/>
  </r>
  <r>
    <x v="64"/>
    <x v="11"/>
    <s v="Analytics"/>
    <x v="9"/>
    <x v="340"/>
    <s v="Angel"/>
    <n v="29000"/>
    <d v="2023-10-07T00:00:00"/>
    <x v="0"/>
    <s v="October"/>
    <n v="10"/>
    <x v="0"/>
    <x v="0"/>
    <x v="3"/>
  </r>
  <r>
    <x v="92"/>
    <x v="12"/>
    <s v="Marketplace"/>
    <x v="8"/>
    <x v="134"/>
    <s v="Angel"/>
    <n v="17000"/>
    <d v="2022-12-04T00:00:00"/>
    <x v="5"/>
    <s v="December"/>
    <n v="12"/>
    <x v="0"/>
    <x v="0"/>
    <x v="2"/>
  </r>
  <r>
    <x v="74"/>
    <x v="13"/>
    <s v="Marketplace"/>
    <x v="6"/>
    <x v="103"/>
    <s v="Seed"/>
    <n v="61000"/>
    <d v="2024-07-10T00:00:00"/>
    <x v="3"/>
    <s v="July"/>
    <n v="7"/>
    <x v="0"/>
    <x v="0"/>
    <x v="1"/>
  </r>
  <r>
    <x v="124"/>
    <x v="1"/>
    <s v="Social"/>
    <x v="9"/>
    <x v="0"/>
    <s v="Seed"/>
    <n v="172000"/>
    <d v="2020-08-06T00:00:00"/>
    <x v="4"/>
    <s v="August"/>
    <n v="8"/>
    <x v="0"/>
    <x v="0"/>
    <x v="1"/>
  </r>
  <r>
    <x v="47"/>
    <x v="9"/>
    <s v="Fleet Management"/>
    <x v="1"/>
    <x v="341"/>
    <s v="Series A"/>
    <n v="8795000"/>
    <d v="2022-02-06T00:00:00"/>
    <x v="5"/>
    <s v="February"/>
    <n v="2"/>
    <x v="1"/>
    <x v="1"/>
    <x v="2"/>
  </r>
  <r>
    <x v="10"/>
    <x v="5"/>
    <s v="E-Retail"/>
    <x v="7"/>
    <x v="29"/>
    <s v="Series A"/>
    <n v="1013000"/>
    <d v="2022-01-23T00:00:00"/>
    <x v="5"/>
    <s v="January"/>
    <n v="1"/>
    <x v="1"/>
    <x v="1"/>
    <x v="1"/>
  </r>
  <r>
    <x v="122"/>
    <x v="4"/>
    <s v="PropTech"/>
    <x v="3"/>
    <x v="18"/>
    <s v="Seed"/>
    <n v="171000"/>
    <d v="2022-02-26T00:00:00"/>
    <x v="5"/>
    <s v="February"/>
    <n v="2"/>
    <x v="0"/>
    <x v="0"/>
    <x v="2"/>
  </r>
  <r>
    <x v="96"/>
    <x v="5"/>
    <s v="Fashion"/>
    <x v="0"/>
    <x v="342"/>
    <s v="Series A"/>
    <n v="2940000"/>
    <d v="2021-04-29T00:00:00"/>
    <x v="2"/>
    <s v="April"/>
    <n v="4"/>
    <x v="1"/>
    <x v="1"/>
    <x v="1"/>
  </r>
  <r>
    <x v="105"/>
    <x v="9"/>
    <s v="Supply Chain"/>
    <x v="0"/>
    <x v="47"/>
    <s v="Angel"/>
    <n v="25000"/>
    <d v="2024-03-29T00:00:00"/>
    <x v="3"/>
    <s v="March"/>
    <n v="3"/>
    <x v="0"/>
    <x v="0"/>
    <x v="2"/>
  </r>
  <r>
    <x v="93"/>
    <x v="3"/>
    <s v="Smart Home"/>
    <x v="7"/>
    <x v="343"/>
    <s v="Growth"/>
    <n v="566555000"/>
    <d v="2024-04-19T00:00:00"/>
    <x v="3"/>
    <s v="April"/>
    <n v="4"/>
    <x v="2"/>
    <x v="3"/>
    <x v="3"/>
  </r>
  <r>
    <x v="72"/>
    <x v="6"/>
    <s v="Food Delivery"/>
    <x v="9"/>
    <x v="69"/>
    <s v="Growth"/>
    <n v="124717000"/>
    <d v="2024-08-06T00:00:00"/>
    <x v="3"/>
    <s v="August"/>
    <n v="8"/>
    <x v="2"/>
    <x v="3"/>
    <x v="1"/>
  </r>
  <r>
    <x v="24"/>
    <x v="2"/>
    <s v="Ride Sharing"/>
    <x v="7"/>
    <x v="344"/>
    <s v="Pre-Series A"/>
    <n v="222000"/>
    <d v="2024-02-02T00:00:00"/>
    <x v="3"/>
    <s v="February"/>
    <n v="2"/>
    <x v="1"/>
    <x v="0"/>
    <x v="2"/>
  </r>
  <r>
    <x v="145"/>
    <x v="5"/>
    <s v="E-Retail"/>
    <x v="4"/>
    <x v="345"/>
    <s v="Series B"/>
    <n v="38638000"/>
    <d v="2024-06-08T00:00:00"/>
    <x v="3"/>
    <s v="June"/>
    <n v="6"/>
    <x v="1"/>
    <x v="2"/>
    <x v="1"/>
  </r>
  <r>
    <x v="25"/>
    <x v="13"/>
    <s v="Marketplace"/>
    <x v="3"/>
    <x v="346"/>
    <s v="Series A"/>
    <n v="3403000"/>
    <d v="2025-06-08T00:00:00"/>
    <x v="1"/>
    <s v="June"/>
    <n v="6"/>
    <x v="1"/>
    <x v="1"/>
    <x v="1"/>
  </r>
  <r>
    <x v="108"/>
    <x v="11"/>
    <s v="Automation"/>
    <x v="4"/>
    <x v="161"/>
    <s v="Seed"/>
    <n v="114000"/>
    <d v="2023-11-08T00:00:00"/>
    <x v="0"/>
    <s v="November"/>
    <n v="11"/>
    <x v="0"/>
    <x v="0"/>
    <x v="3"/>
  </r>
  <r>
    <x v="127"/>
    <x v="8"/>
    <s v="DevTools"/>
    <x v="9"/>
    <x v="347"/>
    <s v="Growth"/>
    <n v="165015000"/>
    <d v="2025-04-18T00:00:00"/>
    <x v="1"/>
    <s v="April"/>
    <n v="4"/>
    <x v="2"/>
    <x v="3"/>
    <x v="3"/>
  </r>
  <r>
    <x v="22"/>
    <x v="3"/>
    <s v="Audio"/>
    <x v="2"/>
    <x v="86"/>
    <s v="Series B"/>
    <n v="7389000"/>
    <d v="2020-12-11T00:00:00"/>
    <x v="4"/>
    <s v="December"/>
    <n v="12"/>
    <x v="1"/>
    <x v="1"/>
    <x v="3"/>
  </r>
  <r>
    <x v="40"/>
    <x v="10"/>
    <s v="Telemedicine"/>
    <x v="7"/>
    <x v="29"/>
    <s v="Seed"/>
    <n v="96000"/>
    <d v="2023-03-07T00:00:00"/>
    <x v="0"/>
    <s v="March"/>
    <n v="3"/>
    <x v="0"/>
    <x v="0"/>
    <x v="0"/>
  </r>
  <r>
    <x v="137"/>
    <x v="3"/>
    <s v="Smart Home"/>
    <x v="5"/>
    <x v="7"/>
    <s v="Seed"/>
    <n v="314000"/>
    <d v="2024-01-01T00:00:00"/>
    <x v="3"/>
    <s v="January"/>
    <n v="1"/>
    <x v="0"/>
    <x v="0"/>
    <x v="3"/>
  </r>
  <r>
    <x v="98"/>
    <x v="3"/>
    <s v="Wearables"/>
    <x v="4"/>
    <x v="224"/>
    <s v="Series A"/>
    <n v="3110000"/>
    <d v="2021-02-27T00:00:00"/>
    <x v="2"/>
    <s v="February"/>
    <n v="2"/>
    <x v="1"/>
    <x v="1"/>
    <x v="3"/>
  </r>
  <r>
    <x v="86"/>
    <x v="6"/>
    <s v="Cloud Kitchen"/>
    <x v="1"/>
    <x v="18"/>
    <s v="Seed"/>
    <n v="1461000"/>
    <d v="2021-06-20T00:00:00"/>
    <x v="2"/>
    <s v="June"/>
    <n v="6"/>
    <x v="0"/>
    <x v="1"/>
    <x v="1"/>
  </r>
  <r>
    <x v="10"/>
    <x v="4"/>
    <s v="Rental Tech"/>
    <x v="5"/>
    <x v="1"/>
    <s v="Seed"/>
    <n v="190000"/>
    <d v="2022-08-18T00:00:00"/>
    <x v="5"/>
    <s v="August"/>
    <n v="8"/>
    <x v="0"/>
    <x v="0"/>
    <x v="2"/>
  </r>
  <r>
    <x v="66"/>
    <x v="1"/>
    <s v="Content"/>
    <x v="9"/>
    <x v="17"/>
    <s v="Series B"/>
    <n v="25007000"/>
    <d v="2021-06-08T00:00:00"/>
    <x v="2"/>
    <s v="June"/>
    <n v="6"/>
    <x v="1"/>
    <x v="2"/>
    <x v="1"/>
  </r>
  <r>
    <x v="163"/>
    <x v="0"/>
    <s v="Coding Bootcamp"/>
    <x v="7"/>
    <x v="348"/>
    <s v="Debt"/>
    <n v="5087000"/>
    <d v="2025-04-07T00:00:00"/>
    <x v="1"/>
    <s v="April"/>
    <n v="4"/>
    <x v="2"/>
    <x v="1"/>
    <x v="0"/>
  </r>
  <r>
    <x v="164"/>
    <x v="2"/>
    <s v="Micro Mobility"/>
    <x v="9"/>
    <x v="349"/>
    <s v="Seed"/>
    <n v="52000"/>
    <d v="2022-03-19T00:00:00"/>
    <x v="5"/>
    <s v="March"/>
    <n v="3"/>
    <x v="0"/>
    <x v="0"/>
    <x v="2"/>
  </r>
  <r>
    <x v="21"/>
    <x v="2"/>
    <s v="EV"/>
    <x v="7"/>
    <x v="103"/>
    <s v="Growth"/>
    <n v="288051000"/>
    <d v="2020-09-27T00:00:00"/>
    <x v="4"/>
    <s v="September"/>
    <n v="9"/>
    <x v="2"/>
    <x v="3"/>
    <x v="2"/>
  </r>
  <r>
    <x v="126"/>
    <x v="10"/>
    <s v="Pharmacy"/>
    <x v="0"/>
    <x v="61"/>
    <s v="Seed"/>
    <n v="96000"/>
    <d v="2025-06-27T00:00:00"/>
    <x v="1"/>
    <s v="June"/>
    <n v="6"/>
    <x v="0"/>
    <x v="0"/>
    <x v="0"/>
  </r>
  <r>
    <x v="23"/>
    <x v="6"/>
    <s v="Food Delivery"/>
    <x v="2"/>
    <x v="13"/>
    <s v="Series A"/>
    <n v="13499000"/>
    <d v="2024-04-08T00:00:00"/>
    <x v="3"/>
    <s v="April"/>
    <n v="4"/>
    <x v="1"/>
    <x v="2"/>
    <x v="1"/>
  </r>
  <r>
    <x v="137"/>
    <x v="8"/>
    <s v="MarTech"/>
    <x v="4"/>
    <x v="350"/>
    <s v="Series A"/>
    <n v="1496000"/>
    <d v="2025-03-05T00:00:00"/>
    <x v="1"/>
    <s v="March"/>
    <n v="3"/>
    <x v="1"/>
    <x v="1"/>
    <x v="3"/>
  </r>
  <r>
    <x v="3"/>
    <x v="0"/>
    <s v="K12"/>
    <x v="1"/>
    <x v="270"/>
    <s v="Series A"/>
    <n v="3074000"/>
    <d v="2020-11-30T00:00:00"/>
    <x v="4"/>
    <s v="November"/>
    <n v="11"/>
    <x v="1"/>
    <x v="1"/>
    <x v="0"/>
  </r>
  <r>
    <x v="165"/>
    <x v="8"/>
    <s v="MarTech"/>
    <x v="5"/>
    <x v="351"/>
    <s v="Series A"/>
    <n v="1260000"/>
    <d v="2024-09-28T00:00:00"/>
    <x v="3"/>
    <s v="September"/>
    <n v="9"/>
    <x v="1"/>
    <x v="1"/>
    <x v="3"/>
  </r>
  <r>
    <x v="49"/>
    <x v="10"/>
    <s v="Pharmacy"/>
    <x v="6"/>
    <x v="79"/>
    <s v="Angel"/>
    <n v="99000"/>
    <d v="2023-04-14T00:00:00"/>
    <x v="0"/>
    <s v="April"/>
    <n v="4"/>
    <x v="0"/>
    <x v="0"/>
    <x v="0"/>
  </r>
  <r>
    <x v="147"/>
    <x v="12"/>
    <s v="Supply Chain"/>
    <x v="9"/>
    <x v="352"/>
    <s v="Angel"/>
    <n v="23000"/>
    <d v="2021-05-19T00:00:00"/>
    <x v="2"/>
    <s v="May"/>
    <n v="5"/>
    <x v="0"/>
    <x v="0"/>
    <x v="2"/>
  </r>
  <r>
    <x v="79"/>
    <x v="4"/>
    <s v="PropTech"/>
    <x v="9"/>
    <x v="69"/>
    <s v="Pre-Series A"/>
    <n v="394000"/>
    <d v="2025-03-17T00:00:00"/>
    <x v="1"/>
    <s v="March"/>
    <n v="3"/>
    <x v="1"/>
    <x v="0"/>
    <x v="2"/>
  </r>
  <r>
    <x v="166"/>
    <x v="3"/>
    <s v="Smart Home"/>
    <x v="5"/>
    <x v="79"/>
    <s v="Series A"/>
    <n v="1199000"/>
    <d v="2025-05-10T00:00:00"/>
    <x v="1"/>
    <s v="May"/>
    <n v="5"/>
    <x v="1"/>
    <x v="1"/>
    <x v="3"/>
  </r>
  <r>
    <x v="147"/>
    <x v="7"/>
    <s v="NeoBank"/>
    <x v="5"/>
    <x v="353"/>
    <s v="Seed"/>
    <n v="795000"/>
    <d v="2024-02-07T00:00:00"/>
    <x v="3"/>
    <s v="February"/>
    <n v="2"/>
    <x v="0"/>
    <x v="0"/>
    <x v="4"/>
  </r>
  <r>
    <x v="117"/>
    <x v="5"/>
    <s v="Fashion"/>
    <x v="2"/>
    <x v="354"/>
    <s v="Seed"/>
    <n v="108000"/>
    <d v="2020-04-23T00:00:00"/>
    <x v="4"/>
    <s v="April"/>
    <n v="4"/>
    <x v="0"/>
    <x v="0"/>
    <x v="1"/>
  </r>
  <r>
    <x v="57"/>
    <x v="0"/>
    <s v="Coding Bootcamp"/>
    <x v="0"/>
    <x v="86"/>
    <s v="Pre-Seed"/>
    <n v="158000"/>
    <d v="2021-03-02T00:00:00"/>
    <x v="2"/>
    <s v="March"/>
    <n v="3"/>
    <x v="0"/>
    <x v="0"/>
    <x v="0"/>
  </r>
  <r>
    <x v="58"/>
    <x v="5"/>
    <s v="Fashion"/>
    <x v="4"/>
    <x v="264"/>
    <s v="Seed"/>
    <n v="107000"/>
    <d v="2022-10-02T00:00:00"/>
    <x v="5"/>
    <s v="October"/>
    <n v="10"/>
    <x v="0"/>
    <x v="0"/>
    <x v="1"/>
  </r>
  <r>
    <x v="68"/>
    <x v="13"/>
    <s v="D2C"/>
    <x v="8"/>
    <x v="101"/>
    <s v="Seed"/>
    <n v="101000"/>
    <d v="2022-07-01T00:00:00"/>
    <x v="5"/>
    <s v="July"/>
    <n v="7"/>
    <x v="0"/>
    <x v="0"/>
    <x v="1"/>
  </r>
  <r>
    <x v="16"/>
    <x v="13"/>
    <s v="Fashion"/>
    <x v="7"/>
    <x v="355"/>
    <s v="Series A"/>
    <n v="1104000"/>
    <d v="2022-06-08T00:00:00"/>
    <x v="5"/>
    <s v="June"/>
    <n v="6"/>
    <x v="1"/>
    <x v="1"/>
    <x v="1"/>
  </r>
  <r>
    <x v="97"/>
    <x v="4"/>
    <s v="Rental Tech"/>
    <x v="4"/>
    <x v="356"/>
    <s v="Angel"/>
    <n v="21000"/>
    <d v="2022-12-15T00:00:00"/>
    <x v="5"/>
    <s v="December"/>
    <n v="12"/>
    <x v="0"/>
    <x v="0"/>
    <x v="2"/>
  </r>
  <r>
    <x v="89"/>
    <x v="3"/>
    <s v="Wearables"/>
    <x v="4"/>
    <x v="69"/>
    <s v="Debt"/>
    <n v="3346000"/>
    <d v="2023-11-02T00:00:00"/>
    <x v="0"/>
    <s v="November"/>
    <n v="11"/>
    <x v="2"/>
    <x v="1"/>
    <x v="3"/>
  </r>
  <r>
    <x v="40"/>
    <x v="7"/>
    <s v="NeoBank"/>
    <x v="0"/>
    <x v="13"/>
    <s v="Angel"/>
    <n v="6000"/>
    <d v="2022-11-17T00:00:00"/>
    <x v="5"/>
    <s v="November"/>
    <n v="11"/>
    <x v="0"/>
    <x v="0"/>
    <x v="4"/>
  </r>
  <r>
    <x v="110"/>
    <x v="13"/>
    <s v="Fashion"/>
    <x v="6"/>
    <x v="79"/>
    <s v="Series C"/>
    <n v="163351000"/>
    <d v="2021-12-28T00:00:00"/>
    <x v="2"/>
    <s v="December"/>
    <n v="12"/>
    <x v="2"/>
    <x v="3"/>
    <x v="1"/>
  </r>
  <r>
    <x v="167"/>
    <x v="1"/>
    <s v="Streaming"/>
    <x v="5"/>
    <x v="357"/>
    <s v="Seed"/>
    <n v="266000"/>
    <d v="2021-01-08T00:00:00"/>
    <x v="2"/>
    <s v="January"/>
    <n v="1"/>
    <x v="0"/>
    <x v="0"/>
    <x v="1"/>
  </r>
  <r>
    <x v="64"/>
    <x v="8"/>
    <s v="MarTech"/>
    <x v="5"/>
    <x v="6"/>
    <s v="Series A"/>
    <n v="4137000"/>
    <d v="2021-06-26T00:00:00"/>
    <x v="2"/>
    <s v="June"/>
    <n v="6"/>
    <x v="1"/>
    <x v="1"/>
    <x v="3"/>
  </r>
  <r>
    <x v="125"/>
    <x v="13"/>
    <s v="Grocery"/>
    <x v="2"/>
    <x v="358"/>
    <s v="Growth"/>
    <n v="160008000"/>
    <d v="2020-08-05T00:00:00"/>
    <x v="4"/>
    <s v="August"/>
    <n v="8"/>
    <x v="2"/>
    <x v="3"/>
    <x v="1"/>
  </r>
  <r>
    <x v="44"/>
    <x v="7"/>
    <s v="Lending"/>
    <x v="5"/>
    <x v="359"/>
    <s v="Series A"/>
    <n v="2960000"/>
    <d v="2022-04-09T00:00:00"/>
    <x v="5"/>
    <s v="April"/>
    <n v="4"/>
    <x v="1"/>
    <x v="1"/>
    <x v="4"/>
  </r>
  <r>
    <x v="96"/>
    <x v="1"/>
    <s v="Streaming"/>
    <x v="9"/>
    <x v="64"/>
    <s v="Series C"/>
    <n v="91037000"/>
    <d v="2020-06-28T00:00:00"/>
    <x v="4"/>
    <s v="June"/>
    <n v="6"/>
    <x v="2"/>
    <x v="2"/>
    <x v="1"/>
  </r>
  <r>
    <x v="86"/>
    <x v="7"/>
    <s v="Lending"/>
    <x v="1"/>
    <x v="18"/>
    <s v="Seed"/>
    <n v="89000"/>
    <d v="2023-08-21T00:00:00"/>
    <x v="0"/>
    <s v="August"/>
    <n v="8"/>
    <x v="0"/>
    <x v="0"/>
    <x v="4"/>
  </r>
  <r>
    <x v="137"/>
    <x v="11"/>
    <s v="Automation"/>
    <x v="3"/>
    <x v="360"/>
    <s v="Seed"/>
    <n v="98000"/>
    <d v="2024-04-25T00:00:00"/>
    <x v="3"/>
    <s v="April"/>
    <n v="4"/>
    <x v="0"/>
    <x v="0"/>
    <x v="3"/>
  </r>
  <r>
    <x v="44"/>
    <x v="10"/>
    <s v="Diagnostics"/>
    <x v="5"/>
    <x v="1"/>
    <s v="Bridge"/>
    <n v="1201000"/>
    <d v="2022-08-23T00:00:00"/>
    <x v="5"/>
    <s v="August"/>
    <n v="8"/>
    <x v="1"/>
    <x v="1"/>
    <x v="0"/>
  </r>
  <r>
    <x v="31"/>
    <x v="12"/>
    <s v="Smart Farming"/>
    <x v="1"/>
    <x v="361"/>
    <s v="Seed"/>
    <n v="1639000"/>
    <d v="2020-07-29T00:00:00"/>
    <x v="4"/>
    <s v="July"/>
    <n v="7"/>
    <x v="0"/>
    <x v="1"/>
    <x v="2"/>
  </r>
  <r>
    <x v="32"/>
    <x v="12"/>
    <s v="Marketplace"/>
    <x v="8"/>
    <x v="362"/>
    <s v="Debt"/>
    <n v="1018000"/>
    <d v="2020-03-16T00:00:00"/>
    <x v="4"/>
    <s v="March"/>
    <n v="3"/>
    <x v="2"/>
    <x v="1"/>
    <x v="2"/>
  </r>
  <r>
    <x v="90"/>
    <x v="0"/>
    <s v="Test Prep"/>
    <x v="8"/>
    <x v="41"/>
    <s v="Pre-Seed"/>
    <n v="37000"/>
    <d v="2023-03-26T00:00:00"/>
    <x v="0"/>
    <s v="March"/>
    <n v="3"/>
    <x v="0"/>
    <x v="0"/>
    <x v="0"/>
  </r>
  <r>
    <x v="98"/>
    <x v="6"/>
    <s v="Food Delivery"/>
    <x v="0"/>
    <x v="363"/>
    <s v="Series A"/>
    <n v="5720000"/>
    <d v="2025-04-06T00:00:00"/>
    <x v="1"/>
    <s v="April"/>
    <n v="4"/>
    <x v="1"/>
    <x v="1"/>
    <x v="1"/>
  </r>
  <r>
    <x v="29"/>
    <x v="3"/>
    <s v="Wearables"/>
    <x v="5"/>
    <x v="133"/>
    <s v="Seed"/>
    <n v="226000"/>
    <d v="2021-03-25T00:00:00"/>
    <x v="2"/>
    <s v="March"/>
    <n v="3"/>
    <x v="0"/>
    <x v="0"/>
    <x v="3"/>
  </r>
  <r>
    <x v="54"/>
    <x v="10"/>
    <s v="Pharmacy"/>
    <x v="9"/>
    <x v="364"/>
    <s v="Bridge"/>
    <n v="55000"/>
    <d v="2024-09-02T00:00:00"/>
    <x v="3"/>
    <s v="September"/>
    <n v="9"/>
    <x v="1"/>
    <x v="0"/>
    <x v="0"/>
  </r>
  <r>
    <x v="93"/>
    <x v="12"/>
    <s v="Supply Chain"/>
    <x v="2"/>
    <x v="365"/>
    <s v="Series B"/>
    <n v="7709000"/>
    <d v="2020-06-25T00:00:00"/>
    <x v="4"/>
    <s v="June"/>
    <n v="6"/>
    <x v="1"/>
    <x v="1"/>
    <x v="2"/>
  </r>
  <r>
    <x v="72"/>
    <x v="6"/>
    <s v="Food Delivery"/>
    <x v="2"/>
    <x v="6"/>
    <s v="Seed"/>
    <n v="701000"/>
    <d v="2023-02-14T00:00:00"/>
    <x v="0"/>
    <s v="February"/>
    <n v="2"/>
    <x v="0"/>
    <x v="0"/>
    <x v="1"/>
  </r>
  <r>
    <x v="135"/>
    <x v="9"/>
    <s v="Supply Chain"/>
    <x v="4"/>
    <x v="238"/>
    <s v="Seed"/>
    <n v="568000"/>
    <d v="2024-10-26T00:00:00"/>
    <x v="3"/>
    <s v="October"/>
    <n v="10"/>
    <x v="0"/>
    <x v="0"/>
    <x v="2"/>
  </r>
  <r>
    <x v="126"/>
    <x v="13"/>
    <s v="Grocery"/>
    <x v="3"/>
    <x v="366"/>
    <s v="Seed"/>
    <n v="55000"/>
    <d v="2021-04-03T00:00:00"/>
    <x v="2"/>
    <s v="April"/>
    <n v="4"/>
    <x v="0"/>
    <x v="0"/>
    <x v="1"/>
  </r>
  <r>
    <x v="37"/>
    <x v="5"/>
    <s v="Fashion"/>
    <x v="2"/>
    <x v="367"/>
    <s v="Angel"/>
    <n v="10000"/>
    <d v="2024-10-13T00:00:00"/>
    <x v="3"/>
    <s v="October"/>
    <n v="10"/>
    <x v="0"/>
    <x v="0"/>
    <x v="1"/>
  </r>
  <r>
    <x v="117"/>
    <x v="3"/>
    <s v="Wearables"/>
    <x v="0"/>
    <x v="95"/>
    <s v="Bridge"/>
    <n v="117000"/>
    <d v="2024-05-19T00:00:00"/>
    <x v="3"/>
    <s v="May"/>
    <n v="5"/>
    <x v="1"/>
    <x v="0"/>
    <x v="3"/>
  </r>
  <r>
    <x v="14"/>
    <x v="11"/>
    <s v="Automation"/>
    <x v="1"/>
    <x v="368"/>
    <s v="Series A"/>
    <n v="6169000"/>
    <d v="2020-12-08T00:00:00"/>
    <x v="4"/>
    <s v="December"/>
    <n v="12"/>
    <x v="1"/>
    <x v="1"/>
    <x v="3"/>
  </r>
  <r>
    <x v="95"/>
    <x v="1"/>
    <s v="Content"/>
    <x v="8"/>
    <x v="7"/>
    <s v="Series A"/>
    <n v="1055000"/>
    <d v="2024-11-17T00:00:00"/>
    <x v="3"/>
    <s v="November"/>
    <n v="11"/>
    <x v="1"/>
    <x v="1"/>
    <x v="1"/>
  </r>
  <r>
    <x v="19"/>
    <x v="8"/>
    <s v="DevTools"/>
    <x v="0"/>
    <x v="169"/>
    <s v="Series D"/>
    <n v="63545000"/>
    <d v="2022-06-18T00:00:00"/>
    <x v="5"/>
    <s v="June"/>
    <n v="6"/>
    <x v="2"/>
    <x v="2"/>
    <x v="3"/>
  </r>
  <r>
    <x v="2"/>
    <x v="2"/>
    <s v="Ride Sharing"/>
    <x v="0"/>
    <x v="322"/>
    <s v="Seed"/>
    <n v="956000"/>
    <d v="2024-01-04T00:00:00"/>
    <x v="3"/>
    <s v="January"/>
    <n v="1"/>
    <x v="0"/>
    <x v="0"/>
    <x v="2"/>
  </r>
  <r>
    <x v="18"/>
    <x v="2"/>
    <s v="EV"/>
    <x v="3"/>
    <x v="138"/>
    <s v="Seed"/>
    <n v="97000"/>
    <d v="2022-05-28T00:00:00"/>
    <x v="5"/>
    <s v="May"/>
    <n v="5"/>
    <x v="0"/>
    <x v="0"/>
    <x v="2"/>
  </r>
  <r>
    <x v="96"/>
    <x v="7"/>
    <s v="InsurTech"/>
    <x v="4"/>
    <x v="55"/>
    <s v="Series C"/>
    <n v="117144000"/>
    <d v="2024-01-09T00:00:00"/>
    <x v="3"/>
    <s v="January"/>
    <n v="1"/>
    <x v="2"/>
    <x v="3"/>
    <x v="4"/>
  </r>
  <r>
    <x v="25"/>
    <x v="5"/>
    <s v="E-Retail"/>
    <x v="9"/>
    <x v="110"/>
    <s v="Seed"/>
    <n v="120000"/>
    <d v="2024-04-03T00:00:00"/>
    <x v="3"/>
    <s v="April"/>
    <n v="4"/>
    <x v="0"/>
    <x v="0"/>
    <x v="1"/>
  </r>
  <r>
    <x v="18"/>
    <x v="7"/>
    <s v="NeoBank"/>
    <x v="2"/>
    <x v="369"/>
    <s v="Pre-Series A"/>
    <n v="126000"/>
    <d v="2024-12-19T00:00:00"/>
    <x v="3"/>
    <s v="December"/>
    <n v="12"/>
    <x v="1"/>
    <x v="0"/>
    <x v="4"/>
  </r>
  <r>
    <x v="25"/>
    <x v="7"/>
    <s v="WealthTech"/>
    <x v="8"/>
    <x v="315"/>
    <s v="Series A"/>
    <n v="1932000"/>
    <d v="2020-10-27T00:00:00"/>
    <x v="4"/>
    <s v="October"/>
    <n v="10"/>
    <x v="1"/>
    <x v="1"/>
    <x v="4"/>
  </r>
  <r>
    <x v="5"/>
    <x v="1"/>
    <s v="Content"/>
    <x v="9"/>
    <x v="17"/>
    <s v="Series C"/>
    <n v="141411000"/>
    <d v="2024-12-09T00:00:00"/>
    <x v="3"/>
    <s v="December"/>
    <n v="12"/>
    <x v="2"/>
    <x v="3"/>
    <x v="1"/>
  </r>
  <r>
    <x v="107"/>
    <x v="1"/>
    <s v="Streaming"/>
    <x v="4"/>
    <x v="0"/>
    <s v="Series A"/>
    <n v="10148000"/>
    <d v="2023-01-12T00:00:00"/>
    <x v="0"/>
    <s v="January"/>
    <n v="1"/>
    <x v="1"/>
    <x v="2"/>
    <x v="1"/>
  </r>
  <r>
    <x v="61"/>
    <x v="5"/>
    <s v="Fashion"/>
    <x v="4"/>
    <x v="370"/>
    <s v="Pre-Seed"/>
    <n v="135000"/>
    <d v="2024-12-28T00:00:00"/>
    <x v="3"/>
    <s v="December"/>
    <n v="12"/>
    <x v="0"/>
    <x v="0"/>
    <x v="1"/>
  </r>
  <r>
    <x v="71"/>
    <x v="1"/>
    <s v="Content"/>
    <x v="8"/>
    <x v="57"/>
    <s v="Seed"/>
    <n v="216000"/>
    <d v="2020-05-02T00:00:00"/>
    <x v="4"/>
    <s v="May"/>
    <n v="5"/>
    <x v="0"/>
    <x v="0"/>
    <x v="1"/>
  </r>
  <r>
    <x v="12"/>
    <x v="8"/>
    <s v="B2B SaaS"/>
    <x v="1"/>
    <x v="39"/>
    <s v="Series C"/>
    <n v="122112000"/>
    <d v="2025-04-11T00:00:00"/>
    <x v="1"/>
    <s v="April"/>
    <n v="4"/>
    <x v="2"/>
    <x v="3"/>
    <x v="3"/>
  </r>
  <r>
    <x v="147"/>
    <x v="0"/>
    <s v="K12"/>
    <x v="7"/>
    <x v="371"/>
    <s v="Seed"/>
    <n v="107000"/>
    <d v="2023-09-27T00:00:00"/>
    <x v="0"/>
    <s v="September"/>
    <n v="9"/>
    <x v="0"/>
    <x v="0"/>
    <x v="0"/>
  </r>
  <r>
    <x v="10"/>
    <x v="2"/>
    <s v="Micro Mobility"/>
    <x v="3"/>
    <x v="91"/>
    <s v="Series C"/>
    <n v="44238000"/>
    <d v="2022-01-09T00:00:00"/>
    <x v="5"/>
    <s v="January"/>
    <n v="1"/>
    <x v="2"/>
    <x v="2"/>
    <x v="2"/>
  </r>
  <r>
    <x v="110"/>
    <x v="13"/>
    <s v="Quick Commerce"/>
    <x v="1"/>
    <x v="372"/>
    <s v="Pre-Series A"/>
    <n v="788000"/>
    <d v="2020-09-23T00:00:00"/>
    <x v="4"/>
    <s v="September"/>
    <n v="9"/>
    <x v="1"/>
    <x v="0"/>
    <x v="1"/>
  </r>
  <r>
    <x v="58"/>
    <x v="2"/>
    <s v="EV"/>
    <x v="2"/>
    <x v="172"/>
    <s v="Series A"/>
    <n v="1036000"/>
    <d v="2023-07-27T00:00:00"/>
    <x v="0"/>
    <s v="July"/>
    <n v="7"/>
    <x v="1"/>
    <x v="1"/>
    <x v="2"/>
  </r>
  <r>
    <x v="72"/>
    <x v="6"/>
    <s v="Cloud Kitchen"/>
    <x v="4"/>
    <x v="373"/>
    <s v="Series A"/>
    <n v="1261000"/>
    <d v="2022-09-19T00:00:00"/>
    <x v="5"/>
    <s v="September"/>
    <n v="9"/>
    <x v="1"/>
    <x v="1"/>
    <x v="1"/>
  </r>
  <r>
    <x v="0"/>
    <x v="1"/>
    <s v="Social"/>
    <x v="5"/>
    <x v="65"/>
    <s v="Series A"/>
    <n v="1756000"/>
    <d v="2024-03-08T00:00:00"/>
    <x v="3"/>
    <s v="March"/>
    <n v="3"/>
    <x v="1"/>
    <x v="1"/>
    <x v="1"/>
  </r>
  <r>
    <x v="48"/>
    <x v="13"/>
    <s v="Grocery"/>
    <x v="9"/>
    <x v="374"/>
    <s v="Seed"/>
    <n v="55000"/>
    <d v="2022-01-26T00:00:00"/>
    <x v="5"/>
    <s v="January"/>
    <n v="1"/>
    <x v="0"/>
    <x v="0"/>
    <x v="1"/>
  </r>
  <r>
    <x v="0"/>
    <x v="8"/>
    <s v="HRTech"/>
    <x v="7"/>
    <x v="4"/>
    <s v="Seed"/>
    <n v="98000"/>
    <d v="2022-09-22T00:00:00"/>
    <x v="5"/>
    <s v="September"/>
    <n v="9"/>
    <x v="0"/>
    <x v="0"/>
    <x v="3"/>
  </r>
  <r>
    <x v="134"/>
    <x v="6"/>
    <s v="Cloud Kitchen"/>
    <x v="2"/>
    <x v="69"/>
    <s v="Private Equity"/>
    <n v="382861000"/>
    <d v="2021-03-17T00:00:00"/>
    <x v="2"/>
    <s v="March"/>
    <n v="3"/>
    <x v="2"/>
    <x v="3"/>
    <x v="1"/>
  </r>
  <r>
    <x v="168"/>
    <x v="2"/>
    <s v="EV"/>
    <x v="0"/>
    <x v="41"/>
    <s v="Growth"/>
    <n v="152047000"/>
    <d v="2022-05-05T00:00:00"/>
    <x v="5"/>
    <s v="May"/>
    <n v="5"/>
    <x v="2"/>
    <x v="3"/>
    <x v="2"/>
  </r>
  <r>
    <x v="41"/>
    <x v="3"/>
    <s v="Smart Home"/>
    <x v="6"/>
    <x v="183"/>
    <s v="Seed"/>
    <n v="1346000"/>
    <d v="2020-10-10T00:00:00"/>
    <x v="4"/>
    <s v="October"/>
    <n v="10"/>
    <x v="0"/>
    <x v="1"/>
    <x v="3"/>
  </r>
  <r>
    <x v="76"/>
    <x v="1"/>
    <s v="Content"/>
    <x v="0"/>
    <x v="375"/>
    <s v="Series C"/>
    <n v="182986000"/>
    <d v="2023-09-22T00:00:00"/>
    <x v="0"/>
    <s v="September"/>
    <n v="9"/>
    <x v="2"/>
    <x v="3"/>
    <x v="1"/>
  </r>
  <r>
    <x v="66"/>
    <x v="7"/>
    <s v="InsurTech"/>
    <x v="2"/>
    <x v="23"/>
    <s v="Series B"/>
    <n v="12899000"/>
    <d v="2024-11-08T00:00:00"/>
    <x v="3"/>
    <s v="November"/>
    <n v="11"/>
    <x v="1"/>
    <x v="2"/>
    <x v="4"/>
  </r>
  <r>
    <x v="61"/>
    <x v="13"/>
    <s v="Grocery"/>
    <x v="0"/>
    <x v="376"/>
    <s v="Seed"/>
    <n v="130000"/>
    <d v="2023-06-21T00:00:00"/>
    <x v="0"/>
    <s v="June"/>
    <n v="6"/>
    <x v="0"/>
    <x v="0"/>
    <x v="1"/>
  </r>
  <r>
    <x v="86"/>
    <x v="2"/>
    <s v="Ride Sharing"/>
    <x v="0"/>
    <x v="6"/>
    <s v="Series B"/>
    <n v="14327000"/>
    <d v="2022-12-25T00:00:00"/>
    <x v="5"/>
    <s v="December"/>
    <n v="12"/>
    <x v="1"/>
    <x v="2"/>
    <x v="2"/>
  </r>
  <r>
    <x v="47"/>
    <x v="0"/>
    <s v="Coding Bootcamp"/>
    <x v="0"/>
    <x v="86"/>
    <s v="Series C"/>
    <n v="98917000"/>
    <d v="2023-05-27T00:00:00"/>
    <x v="0"/>
    <s v="May"/>
    <n v="5"/>
    <x v="2"/>
    <x v="2"/>
    <x v="0"/>
  </r>
  <r>
    <x v="81"/>
    <x v="7"/>
    <s v="WealthTech"/>
    <x v="9"/>
    <x v="366"/>
    <s v="Seed"/>
    <n v="134000"/>
    <d v="2020-02-19T00:00:00"/>
    <x v="4"/>
    <s v="February"/>
    <n v="2"/>
    <x v="0"/>
    <x v="0"/>
    <x v="4"/>
  </r>
  <r>
    <x v="44"/>
    <x v="13"/>
    <s v="Grocery"/>
    <x v="4"/>
    <x v="98"/>
    <s v="Seed"/>
    <n v="500000"/>
    <d v="2021-01-09T00:00:00"/>
    <x v="2"/>
    <s v="January"/>
    <n v="1"/>
    <x v="0"/>
    <x v="0"/>
    <x v="1"/>
  </r>
  <r>
    <x v="8"/>
    <x v="6"/>
    <s v="Grocery"/>
    <x v="4"/>
    <x v="7"/>
    <s v="Seed"/>
    <n v="226000"/>
    <d v="2025-05-22T00:00:00"/>
    <x v="1"/>
    <s v="May"/>
    <n v="5"/>
    <x v="0"/>
    <x v="0"/>
    <x v="1"/>
  </r>
  <r>
    <x v="115"/>
    <x v="13"/>
    <s v="D2C"/>
    <x v="4"/>
    <x v="14"/>
    <s v="Pre-Series A"/>
    <n v="356000"/>
    <d v="2021-10-25T00:00:00"/>
    <x v="2"/>
    <s v="October"/>
    <n v="10"/>
    <x v="1"/>
    <x v="0"/>
    <x v="1"/>
  </r>
  <r>
    <x v="0"/>
    <x v="7"/>
    <s v="Lending"/>
    <x v="3"/>
    <x v="61"/>
    <s v="Series C"/>
    <n v="65156000"/>
    <d v="2023-04-15T00:00:00"/>
    <x v="0"/>
    <s v="April"/>
    <n v="4"/>
    <x v="2"/>
    <x v="2"/>
    <x v="4"/>
  </r>
  <r>
    <x v="12"/>
    <x v="6"/>
    <s v="Cloud Kitchen"/>
    <x v="2"/>
    <x v="122"/>
    <s v="Seed"/>
    <n v="148000"/>
    <d v="2022-08-09T00:00:00"/>
    <x v="5"/>
    <s v="August"/>
    <n v="8"/>
    <x v="0"/>
    <x v="0"/>
    <x v="1"/>
  </r>
  <r>
    <x v="20"/>
    <x v="4"/>
    <s v="PropTech"/>
    <x v="1"/>
    <x v="377"/>
    <s v="Seed"/>
    <n v="1654000"/>
    <d v="2025-05-27T00:00:00"/>
    <x v="1"/>
    <s v="May"/>
    <n v="5"/>
    <x v="0"/>
    <x v="1"/>
    <x v="2"/>
  </r>
  <r>
    <x v="39"/>
    <x v="6"/>
    <s v="Food Delivery"/>
    <x v="0"/>
    <x v="4"/>
    <s v="Series D"/>
    <n v="290119000"/>
    <d v="2022-10-21T00:00:00"/>
    <x v="5"/>
    <s v="October"/>
    <n v="10"/>
    <x v="2"/>
    <x v="3"/>
    <x v="1"/>
  </r>
  <r>
    <x v="134"/>
    <x v="10"/>
    <s v="Diagnostics"/>
    <x v="8"/>
    <x v="284"/>
    <s v="Bridge"/>
    <n v="84000"/>
    <d v="2025-05-22T00:00:00"/>
    <x v="1"/>
    <s v="May"/>
    <n v="5"/>
    <x v="1"/>
    <x v="0"/>
    <x v="0"/>
  </r>
  <r>
    <x v="97"/>
    <x v="12"/>
    <s v="Smart Farming"/>
    <x v="4"/>
    <x v="58"/>
    <s v="Pre-Seed"/>
    <n v="148000"/>
    <d v="2025-03-26T00:00:00"/>
    <x v="1"/>
    <s v="March"/>
    <n v="3"/>
    <x v="0"/>
    <x v="0"/>
    <x v="2"/>
  </r>
  <r>
    <x v="51"/>
    <x v="11"/>
    <s v="Automation"/>
    <x v="3"/>
    <x v="19"/>
    <s v="Series A"/>
    <n v="3743000"/>
    <d v="2022-11-11T00:00:00"/>
    <x v="5"/>
    <s v="November"/>
    <n v="11"/>
    <x v="1"/>
    <x v="1"/>
    <x v="3"/>
  </r>
  <r>
    <x v="63"/>
    <x v="9"/>
    <s v="Last Mile"/>
    <x v="9"/>
    <x v="23"/>
    <s v="Series B"/>
    <n v="59720000"/>
    <d v="2024-08-27T00:00:00"/>
    <x v="3"/>
    <s v="August"/>
    <n v="8"/>
    <x v="1"/>
    <x v="2"/>
    <x v="2"/>
  </r>
  <r>
    <x v="23"/>
    <x v="0"/>
    <s v="UpSkilling"/>
    <x v="7"/>
    <x v="378"/>
    <s v="Series B"/>
    <n v="45929000"/>
    <d v="2025-06-29T00:00:00"/>
    <x v="1"/>
    <s v="June"/>
    <n v="6"/>
    <x v="1"/>
    <x v="2"/>
    <x v="0"/>
  </r>
  <r>
    <x v="87"/>
    <x v="12"/>
    <s v="Smart Farming"/>
    <x v="1"/>
    <x v="379"/>
    <s v="Angel"/>
    <n v="18000"/>
    <d v="2020-09-30T00:00:00"/>
    <x v="4"/>
    <s v="September"/>
    <n v="9"/>
    <x v="0"/>
    <x v="0"/>
    <x v="2"/>
  </r>
  <r>
    <x v="139"/>
    <x v="6"/>
    <s v="Grocery"/>
    <x v="5"/>
    <x v="4"/>
    <s v="Series C"/>
    <n v="21255000"/>
    <d v="2023-01-07T00:00:00"/>
    <x v="0"/>
    <s v="January"/>
    <n v="1"/>
    <x v="2"/>
    <x v="2"/>
    <x v="1"/>
  </r>
  <r>
    <x v="34"/>
    <x v="2"/>
    <s v="Ride Sharing"/>
    <x v="5"/>
    <x v="22"/>
    <s v="Series B"/>
    <n v="10531000"/>
    <d v="2021-12-23T00:00:00"/>
    <x v="2"/>
    <s v="December"/>
    <n v="12"/>
    <x v="1"/>
    <x v="2"/>
    <x v="2"/>
  </r>
  <r>
    <x v="21"/>
    <x v="5"/>
    <s v="Fashion"/>
    <x v="1"/>
    <x v="39"/>
    <s v="Seed"/>
    <n v="369000"/>
    <d v="2022-01-28T00:00:00"/>
    <x v="5"/>
    <s v="January"/>
    <n v="1"/>
    <x v="0"/>
    <x v="0"/>
    <x v="1"/>
  </r>
  <r>
    <x v="84"/>
    <x v="5"/>
    <s v="Grocery"/>
    <x v="7"/>
    <x v="380"/>
    <s v="Seed"/>
    <n v="517000"/>
    <d v="2024-07-29T00:00:00"/>
    <x v="3"/>
    <s v="July"/>
    <n v="7"/>
    <x v="0"/>
    <x v="0"/>
    <x v="1"/>
  </r>
  <r>
    <x v="84"/>
    <x v="3"/>
    <s v="Wearables"/>
    <x v="1"/>
    <x v="30"/>
    <s v="Seed"/>
    <n v="129000"/>
    <d v="2025-01-26T00:00:00"/>
    <x v="1"/>
    <s v="January"/>
    <n v="1"/>
    <x v="0"/>
    <x v="0"/>
    <x v="3"/>
  </r>
  <r>
    <x v="66"/>
    <x v="9"/>
    <s v="Fleet Management"/>
    <x v="8"/>
    <x v="110"/>
    <s v="Series A"/>
    <n v="1458000"/>
    <d v="2023-02-04T00:00:00"/>
    <x v="0"/>
    <s v="February"/>
    <n v="2"/>
    <x v="1"/>
    <x v="1"/>
    <x v="2"/>
  </r>
  <r>
    <x v="113"/>
    <x v="13"/>
    <s v="Grocery"/>
    <x v="4"/>
    <x v="65"/>
    <s v="Series B"/>
    <n v="50620000"/>
    <d v="2020-09-17T00:00:00"/>
    <x v="4"/>
    <s v="September"/>
    <n v="9"/>
    <x v="1"/>
    <x v="2"/>
    <x v="1"/>
  </r>
  <r>
    <x v="22"/>
    <x v="1"/>
    <s v="Content"/>
    <x v="3"/>
    <x v="381"/>
    <s v="Series D"/>
    <n v="482361000"/>
    <d v="2020-02-17T00:00:00"/>
    <x v="4"/>
    <s v="February"/>
    <n v="2"/>
    <x v="2"/>
    <x v="3"/>
    <x v="1"/>
  </r>
  <r>
    <x v="169"/>
    <x v="6"/>
    <s v="Grocery"/>
    <x v="1"/>
    <x v="382"/>
    <s v="Series D"/>
    <n v="167749000"/>
    <d v="2021-10-23T00:00:00"/>
    <x v="2"/>
    <s v="October"/>
    <n v="10"/>
    <x v="2"/>
    <x v="3"/>
    <x v="1"/>
  </r>
  <r>
    <x v="27"/>
    <x v="3"/>
    <s v="Wearables"/>
    <x v="7"/>
    <x v="383"/>
    <s v="Series A"/>
    <n v="1592000"/>
    <d v="2020-03-30T00:00:00"/>
    <x v="4"/>
    <s v="March"/>
    <n v="3"/>
    <x v="1"/>
    <x v="1"/>
    <x v="3"/>
  </r>
  <r>
    <x v="76"/>
    <x v="6"/>
    <s v="Cloud Kitchen"/>
    <x v="7"/>
    <x v="6"/>
    <s v="Seed"/>
    <n v="137000"/>
    <d v="2023-03-17T00:00:00"/>
    <x v="0"/>
    <s v="March"/>
    <n v="3"/>
    <x v="0"/>
    <x v="0"/>
    <x v="1"/>
  </r>
  <r>
    <x v="111"/>
    <x v="1"/>
    <s v="Content"/>
    <x v="0"/>
    <x v="103"/>
    <s v="Angel"/>
    <n v="5000"/>
    <d v="2021-02-07T00:00:00"/>
    <x v="2"/>
    <s v="February"/>
    <n v="2"/>
    <x v="0"/>
    <x v="0"/>
    <x v="1"/>
  </r>
  <r>
    <x v="128"/>
    <x v="4"/>
    <s v="Rental Tech"/>
    <x v="0"/>
    <x v="79"/>
    <s v="Pre-Seed"/>
    <n v="164000"/>
    <d v="2022-06-03T00:00:00"/>
    <x v="5"/>
    <s v="June"/>
    <n v="6"/>
    <x v="0"/>
    <x v="0"/>
    <x v="2"/>
  </r>
  <r>
    <x v="107"/>
    <x v="0"/>
    <s v="Test Prep"/>
    <x v="5"/>
    <x v="69"/>
    <s v="Seed"/>
    <n v="77000"/>
    <d v="2021-11-28T00:00:00"/>
    <x v="2"/>
    <s v="November"/>
    <n v="11"/>
    <x v="0"/>
    <x v="0"/>
    <x v="0"/>
  </r>
  <r>
    <x v="6"/>
    <x v="5"/>
    <s v="Fashion"/>
    <x v="6"/>
    <x v="384"/>
    <s v="Series A"/>
    <n v="4765000"/>
    <d v="2020-07-14T00:00:00"/>
    <x v="4"/>
    <s v="July"/>
    <n v="7"/>
    <x v="1"/>
    <x v="1"/>
    <x v="1"/>
  </r>
  <r>
    <x v="122"/>
    <x v="11"/>
    <s v="Automation"/>
    <x v="0"/>
    <x v="385"/>
    <s v="Series C"/>
    <n v="42009000"/>
    <d v="2020-05-06T00:00:00"/>
    <x v="4"/>
    <s v="May"/>
    <n v="5"/>
    <x v="2"/>
    <x v="2"/>
    <x v="3"/>
  </r>
  <r>
    <x v="126"/>
    <x v="13"/>
    <s v="Quick Commerce"/>
    <x v="1"/>
    <x v="296"/>
    <s v="Series A"/>
    <n v="4485000"/>
    <d v="2021-08-26T00:00:00"/>
    <x v="2"/>
    <s v="August"/>
    <n v="8"/>
    <x v="1"/>
    <x v="1"/>
    <x v="1"/>
  </r>
  <r>
    <x v="110"/>
    <x v="0"/>
    <s v="Test Prep"/>
    <x v="5"/>
    <x v="75"/>
    <s v="Pre-Series A"/>
    <n v="448000"/>
    <d v="2024-06-16T00:00:00"/>
    <x v="3"/>
    <s v="June"/>
    <n v="6"/>
    <x v="1"/>
    <x v="0"/>
    <x v="0"/>
  </r>
  <r>
    <x v="41"/>
    <x v="4"/>
    <s v="PropTech"/>
    <x v="5"/>
    <x v="17"/>
    <s v="Series A"/>
    <n v="9459000"/>
    <d v="2023-04-18T00:00:00"/>
    <x v="0"/>
    <s v="April"/>
    <n v="4"/>
    <x v="1"/>
    <x v="1"/>
    <x v="2"/>
  </r>
  <r>
    <x v="133"/>
    <x v="13"/>
    <s v="Grocery"/>
    <x v="3"/>
    <x v="386"/>
    <s v="Angel"/>
    <n v="9000"/>
    <d v="2020-09-15T00:00:00"/>
    <x v="4"/>
    <s v="September"/>
    <n v="9"/>
    <x v="0"/>
    <x v="0"/>
    <x v="1"/>
  </r>
  <r>
    <x v="5"/>
    <x v="10"/>
    <s v="Diagnostics"/>
    <x v="4"/>
    <x v="103"/>
    <s v="Series C"/>
    <n v="20605000"/>
    <d v="2020-05-03T00:00:00"/>
    <x v="4"/>
    <s v="May"/>
    <n v="5"/>
    <x v="2"/>
    <x v="2"/>
    <x v="0"/>
  </r>
  <r>
    <x v="137"/>
    <x v="4"/>
    <s v="Home Services"/>
    <x v="2"/>
    <x v="64"/>
    <s v="Series A"/>
    <n v="1449000"/>
    <d v="2023-01-13T00:00:00"/>
    <x v="0"/>
    <s v="January"/>
    <n v="1"/>
    <x v="1"/>
    <x v="1"/>
    <x v="2"/>
  </r>
  <r>
    <x v="61"/>
    <x v="9"/>
    <s v="Supply Chain"/>
    <x v="1"/>
    <x v="387"/>
    <s v="Series A"/>
    <n v="11442000"/>
    <d v="2023-09-08T00:00:00"/>
    <x v="0"/>
    <s v="September"/>
    <n v="9"/>
    <x v="1"/>
    <x v="2"/>
    <x v="2"/>
  </r>
  <r>
    <x v="3"/>
    <x v="6"/>
    <s v="Food Delivery"/>
    <x v="3"/>
    <x v="4"/>
    <s v="Bridge"/>
    <n v="1256000"/>
    <d v="2023-08-04T00:00:00"/>
    <x v="0"/>
    <s v="August"/>
    <n v="8"/>
    <x v="1"/>
    <x v="1"/>
    <x v="1"/>
  </r>
  <r>
    <x v="87"/>
    <x v="3"/>
    <s v="Smart Home"/>
    <x v="5"/>
    <x v="126"/>
    <s v="Series A"/>
    <n v="5042000"/>
    <d v="2021-11-09T00:00:00"/>
    <x v="2"/>
    <s v="November"/>
    <n v="11"/>
    <x v="1"/>
    <x v="1"/>
    <x v="3"/>
  </r>
  <r>
    <x v="64"/>
    <x v="6"/>
    <s v="Food Delivery"/>
    <x v="4"/>
    <x v="61"/>
    <s v="Seed"/>
    <n v="458000"/>
    <d v="2024-11-29T00:00:00"/>
    <x v="3"/>
    <s v="November"/>
    <n v="11"/>
    <x v="0"/>
    <x v="0"/>
    <x v="1"/>
  </r>
  <r>
    <x v="7"/>
    <x v="4"/>
    <s v="PropTech"/>
    <x v="3"/>
    <x v="61"/>
    <s v="Series A"/>
    <n v="6055000"/>
    <d v="2021-03-12T00:00:00"/>
    <x v="2"/>
    <s v="March"/>
    <n v="3"/>
    <x v="1"/>
    <x v="1"/>
    <x v="2"/>
  </r>
  <r>
    <x v="78"/>
    <x v="6"/>
    <s v="Cloud Kitchen"/>
    <x v="9"/>
    <x v="29"/>
    <s v="Seed"/>
    <n v="95000"/>
    <d v="2020-01-14T00:00:00"/>
    <x v="4"/>
    <s v="January"/>
    <n v="1"/>
    <x v="0"/>
    <x v="0"/>
    <x v="1"/>
  </r>
  <r>
    <x v="135"/>
    <x v="7"/>
    <s v="NeoBank"/>
    <x v="0"/>
    <x v="18"/>
    <s v="Seed"/>
    <n v="1459000"/>
    <d v="2022-06-20T00:00:00"/>
    <x v="5"/>
    <s v="June"/>
    <n v="6"/>
    <x v="0"/>
    <x v="1"/>
    <x v="4"/>
  </r>
  <r>
    <x v="96"/>
    <x v="7"/>
    <s v="Payments"/>
    <x v="3"/>
    <x v="138"/>
    <s v="Seed"/>
    <n v="234000"/>
    <d v="2020-12-22T00:00:00"/>
    <x v="4"/>
    <s v="December"/>
    <n v="12"/>
    <x v="0"/>
    <x v="0"/>
    <x v="4"/>
  </r>
  <r>
    <x v="113"/>
    <x v="8"/>
    <s v="DevTools"/>
    <x v="4"/>
    <x v="138"/>
    <s v="Seed"/>
    <n v="205000"/>
    <d v="2020-12-26T00:00:00"/>
    <x v="4"/>
    <s v="December"/>
    <n v="12"/>
    <x v="0"/>
    <x v="0"/>
    <x v="3"/>
  </r>
  <r>
    <x v="56"/>
    <x v="10"/>
    <s v="Health Analytics"/>
    <x v="0"/>
    <x v="39"/>
    <s v="Seed"/>
    <n v="339000"/>
    <d v="2021-03-06T00:00:00"/>
    <x v="2"/>
    <s v="March"/>
    <n v="3"/>
    <x v="0"/>
    <x v="0"/>
    <x v="0"/>
  </r>
  <r>
    <x v="48"/>
    <x v="5"/>
    <s v="Grocery"/>
    <x v="4"/>
    <x v="1"/>
    <s v="Bridge"/>
    <n v="59000"/>
    <d v="2025-06-24T00:00:00"/>
    <x v="1"/>
    <s v="June"/>
    <n v="6"/>
    <x v="1"/>
    <x v="0"/>
    <x v="1"/>
  </r>
  <r>
    <x v="128"/>
    <x v="13"/>
    <s v="Marketplace"/>
    <x v="4"/>
    <x v="14"/>
    <s v="Series C"/>
    <n v="31376000"/>
    <d v="2021-01-27T00:00:00"/>
    <x v="2"/>
    <s v="January"/>
    <n v="1"/>
    <x v="2"/>
    <x v="2"/>
    <x v="1"/>
  </r>
  <r>
    <x v="40"/>
    <x v="0"/>
    <s v="Test Prep"/>
    <x v="6"/>
    <x v="324"/>
    <s v="Series A"/>
    <n v="7379000"/>
    <d v="2024-10-15T00:00:00"/>
    <x v="3"/>
    <s v="October"/>
    <n v="10"/>
    <x v="1"/>
    <x v="1"/>
    <x v="0"/>
  </r>
  <r>
    <x v="170"/>
    <x v="5"/>
    <s v="Grocery"/>
    <x v="4"/>
    <x v="141"/>
    <s v="Series D"/>
    <n v="60502000"/>
    <d v="2025-06-06T00:00:00"/>
    <x v="1"/>
    <s v="June"/>
    <n v="6"/>
    <x v="2"/>
    <x v="2"/>
    <x v="1"/>
  </r>
  <r>
    <x v="89"/>
    <x v="5"/>
    <s v="Fashion"/>
    <x v="6"/>
    <x v="183"/>
    <s v="Seed"/>
    <n v="463000"/>
    <d v="2022-11-07T00:00:00"/>
    <x v="5"/>
    <s v="November"/>
    <n v="11"/>
    <x v="0"/>
    <x v="0"/>
    <x v="1"/>
  </r>
  <r>
    <x v="141"/>
    <x v="3"/>
    <s v="Audio"/>
    <x v="7"/>
    <x v="388"/>
    <s v="Series B"/>
    <n v="9872000"/>
    <d v="2022-12-12T00:00:00"/>
    <x v="5"/>
    <s v="December"/>
    <n v="12"/>
    <x v="1"/>
    <x v="1"/>
    <x v="3"/>
  </r>
  <r>
    <x v="57"/>
    <x v="5"/>
    <s v="Fashion"/>
    <x v="1"/>
    <x v="39"/>
    <s v="Seed"/>
    <n v="210000"/>
    <d v="2025-01-06T00:00:00"/>
    <x v="1"/>
    <s v="January"/>
    <n v="1"/>
    <x v="0"/>
    <x v="0"/>
    <x v="1"/>
  </r>
  <r>
    <x v="6"/>
    <x v="9"/>
    <s v="Supply Chain"/>
    <x v="9"/>
    <x v="57"/>
    <s v="Series A"/>
    <n v="2185000"/>
    <d v="2025-03-30T00:00:00"/>
    <x v="1"/>
    <s v="March"/>
    <n v="3"/>
    <x v="1"/>
    <x v="1"/>
    <x v="2"/>
  </r>
  <r>
    <x v="123"/>
    <x v="13"/>
    <s v="D2C"/>
    <x v="5"/>
    <x v="276"/>
    <s v="Series A"/>
    <n v="2620000"/>
    <d v="2021-04-16T00:00:00"/>
    <x v="2"/>
    <s v="April"/>
    <n v="4"/>
    <x v="1"/>
    <x v="1"/>
    <x v="1"/>
  </r>
  <r>
    <x v="41"/>
    <x v="3"/>
    <s v="Wearables"/>
    <x v="9"/>
    <x v="47"/>
    <s v="Pre-Series A"/>
    <n v="524000"/>
    <d v="2022-10-15T00:00:00"/>
    <x v="5"/>
    <s v="October"/>
    <n v="10"/>
    <x v="1"/>
    <x v="0"/>
    <x v="3"/>
  </r>
  <r>
    <x v="79"/>
    <x v="0"/>
    <s v="UpSkilling"/>
    <x v="0"/>
    <x v="69"/>
    <s v="Pre-Series A"/>
    <n v="198000"/>
    <d v="2020-06-17T00:00:00"/>
    <x v="4"/>
    <s v="June"/>
    <n v="6"/>
    <x v="1"/>
    <x v="0"/>
    <x v="0"/>
  </r>
  <r>
    <x v="89"/>
    <x v="0"/>
    <s v="Test Prep"/>
    <x v="0"/>
    <x v="0"/>
    <s v="Seed"/>
    <n v="404000"/>
    <d v="2020-03-19T00:00:00"/>
    <x v="4"/>
    <s v="March"/>
    <n v="3"/>
    <x v="0"/>
    <x v="0"/>
    <x v="0"/>
  </r>
  <r>
    <x v="78"/>
    <x v="1"/>
    <s v="Streaming"/>
    <x v="2"/>
    <x v="6"/>
    <s v="Seed"/>
    <n v="289000"/>
    <d v="2023-05-22T00:00:00"/>
    <x v="0"/>
    <s v="May"/>
    <n v="5"/>
    <x v="0"/>
    <x v="0"/>
    <x v="1"/>
  </r>
  <r>
    <x v="24"/>
    <x v="7"/>
    <s v="WealthTech"/>
    <x v="2"/>
    <x v="134"/>
    <s v="Series C"/>
    <n v="120661000"/>
    <d v="2024-05-22T00:00:00"/>
    <x v="3"/>
    <s v="May"/>
    <n v="5"/>
    <x v="2"/>
    <x v="3"/>
    <x v="4"/>
  </r>
  <r>
    <x v="133"/>
    <x v="2"/>
    <s v="Ride Sharing"/>
    <x v="9"/>
    <x v="389"/>
    <s v="Seed"/>
    <n v="1584000"/>
    <d v="2024-01-21T00:00:00"/>
    <x v="3"/>
    <s v="January"/>
    <n v="1"/>
    <x v="0"/>
    <x v="1"/>
    <x v="2"/>
  </r>
  <r>
    <x v="54"/>
    <x v="1"/>
    <s v="Content"/>
    <x v="7"/>
    <x v="39"/>
    <s v="Series C"/>
    <n v="145412000"/>
    <d v="2021-10-03T00:00:00"/>
    <x v="2"/>
    <s v="October"/>
    <n v="10"/>
    <x v="2"/>
    <x v="3"/>
    <x v="1"/>
  </r>
  <r>
    <x v="104"/>
    <x v="3"/>
    <s v="Smart Home"/>
    <x v="1"/>
    <x v="47"/>
    <s v="Pre-Series A"/>
    <n v="164000"/>
    <d v="2023-03-28T00:00:00"/>
    <x v="0"/>
    <s v="March"/>
    <n v="3"/>
    <x v="1"/>
    <x v="0"/>
    <x v="3"/>
  </r>
  <r>
    <x v="139"/>
    <x v="4"/>
    <s v="Home Services"/>
    <x v="7"/>
    <x v="390"/>
    <s v="Seed"/>
    <n v="56000"/>
    <d v="2022-05-21T00:00:00"/>
    <x v="5"/>
    <s v="May"/>
    <n v="5"/>
    <x v="0"/>
    <x v="0"/>
    <x v="2"/>
  </r>
  <r>
    <x v="64"/>
    <x v="8"/>
    <s v="B2B SaaS"/>
    <x v="6"/>
    <x v="64"/>
    <s v="Series C"/>
    <n v="40689000"/>
    <d v="2025-03-03T00:00:00"/>
    <x v="1"/>
    <s v="March"/>
    <n v="3"/>
    <x v="2"/>
    <x v="2"/>
    <x v="3"/>
  </r>
  <r>
    <x v="78"/>
    <x v="5"/>
    <s v="Fashion"/>
    <x v="6"/>
    <x v="266"/>
    <s v="Series A"/>
    <n v="5010000"/>
    <d v="2022-03-11T00:00:00"/>
    <x v="5"/>
    <s v="March"/>
    <n v="3"/>
    <x v="1"/>
    <x v="1"/>
    <x v="1"/>
  </r>
  <r>
    <x v="35"/>
    <x v="13"/>
    <s v="D2C"/>
    <x v="6"/>
    <x v="17"/>
    <s v="Bridge"/>
    <n v="60000"/>
    <d v="2023-08-01T00:00:00"/>
    <x v="0"/>
    <s v="August"/>
    <n v="8"/>
    <x v="1"/>
    <x v="0"/>
    <x v="1"/>
  </r>
  <r>
    <x v="14"/>
    <x v="4"/>
    <s v="Rental Tech"/>
    <x v="4"/>
    <x v="365"/>
    <s v="Pre-Seed"/>
    <n v="63000"/>
    <d v="2023-11-12T00:00:00"/>
    <x v="0"/>
    <s v="November"/>
    <n v="11"/>
    <x v="0"/>
    <x v="0"/>
    <x v="2"/>
  </r>
  <r>
    <x v="63"/>
    <x v="6"/>
    <s v="Food Delivery"/>
    <x v="3"/>
    <x v="19"/>
    <s v="Seed"/>
    <n v="452000"/>
    <d v="2023-09-12T00:00:00"/>
    <x v="0"/>
    <s v="September"/>
    <n v="9"/>
    <x v="0"/>
    <x v="0"/>
    <x v="1"/>
  </r>
  <r>
    <x v="139"/>
    <x v="11"/>
    <s v="Security"/>
    <x v="9"/>
    <x v="13"/>
    <s v="Seed"/>
    <n v="172000"/>
    <d v="2020-08-14T00:00:00"/>
    <x v="4"/>
    <s v="August"/>
    <n v="8"/>
    <x v="0"/>
    <x v="0"/>
    <x v="3"/>
  </r>
  <r>
    <x v="144"/>
    <x v="6"/>
    <s v="Cloud Kitchen"/>
    <x v="4"/>
    <x v="257"/>
    <s v="Growth"/>
    <n v="382414000"/>
    <d v="2021-09-26T00:00:00"/>
    <x v="2"/>
    <s v="September"/>
    <n v="9"/>
    <x v="2"/>
    <x v="3"/>
    <x v="1"/>
  </r>
  <r>
    <x v="13"/>
    <x v="9"/>
    <s v="Fleet Management"/>
    <x v="3"/>
    <x v="391"/>
    <s v="Series A"/>
    <n v="1335000"/>
    <d v="2023-11-03T00:00:00"/>
    <x v="0"/>
    <s v="November"/>
    <n v="11"/>
    <x v="1"/>
    <x v="1"/>
    <x v="2"/>
  </r>
  <r>
    <x v="134"/>
    <x v="11"/>
    <s v="Security"/>
    <x v="6"/>
    <x v="138"/>
    <s v="Series C"/>
    <n v="24513000"/>
    <d v="2022-12-12T00:00:00"/>
    <x v="5"/>
    <s v="December"/>
    <n v="12"/>
    <x v="2"/>
    <x v="2"/>
    <x v="3"/>
  </r>
  <r>
    <x v="72"/>
    <x v="12"/>
    <s v="Supply Chain"/>
    <x v="0"/>
    <x v="22"/>
    <s v="Seed"/>
    <n v="734000"/>
    <d v="2024-12-09T00:00:00"/>
    <x v="3"/>
    <s v="December"/>
    <n v="12"/>
    <x v="0"/>
    <x v="0"/>
    <x v="2"/>
  </r>
  <r>
    <x v="64"/>
    <x v="6"/>
    <s v="Grocery"/>
    <x v="4"/>
    <x v="344"/>
    <s v="Pre-Series A"/>
    <n v="313000"/>
    <d v="2021-01-02T00:00:00"/>
    <x v="2"/>
    <s v="January"/>
    <n v="1"/>
    <x v="1"/>
    <x v="0"/>
    <x v="1"/>
  </r>
  <r>
    <x v="80"/>
    <x v="13"/>
    <s v="Fashion"/>
    <x v="1"/>
    <x v="47"/>
    <s v="Seed"/>
    <n v="634000"/>
    <d v="2024-11-17T00:00:00"/>
    <x v="3"/>
    <s v="November"/>
    <n v="11"/>
    <x v="0"/>
    <x v="0"/>
    <x v="1"/>
  </r>
  <r>
    <x v="95"/>
    <x v="4"/>
    <s v="PropTech"/>
    <x v="3"/>
    <x v="148"/>
    <s v="Angel"/>
    <n v="18000"/>
    <d v="2022-04-22T00:00:00"/>
    <x v="5"/>
    <s v="April"/>
    <n v="4"/>
    <x v="0"/>
    <x v="0"/>
    <x v="2"/>
  </r>
  <r>
    <x v="14"/>
    <x v="2"/>
    <s v="EV"/>
    <x v="9"/>
    <x v="13"/>
    <s v="Series A"/>
    <n v="1949000"/>
    <d v="2021-06-01T00:00:00"/>
    <x v="2"/>
    <s v="June"/>
    <n v="6"/>
    <x v="1"/>
    <x v="1"/>
    <x v="2"/>
  </r>
  <r>
    <x v="171"/>
    <x v="4"/>
    <s v="Rental Tech"/>
    <x v="5"/>
    <x v="392"/>
    <s v="Pre-Series A"/>
    <n v="659000"/>
    <d v="2024-03-07T00:00:00"/>
    <x v="3"/>
    <s v="March"/>
    <n v="3"/>
    <x v="1"/>
    <x v="0"/>
    <x v="2"/>
  </r>
  <r>
    <x v="139"/>
    <x v="1"/>
    <s v="Social"/>
    <x v="7"/>
    <x v="90"/>
    <s v="Series B"/>
    <n v="45874000"/>
    <d v="2022-08-08T00:00:00"/>
    <x v="5"/>
    <s v="August"/>
    <n v="8"/>
    <x v="1"/>
    <x v="2"/>
    <x v="1"/>
  </r>
  <r>
    <x v="31"/>
    <x v="3"/>
    <s v="Audio"/>
    <x v="5"/>
    <x v="7"/>
    <s v="Series C"/>
    <n v="131237000"/>
    <d v="2024-09-19T00:00:00"/>
    <x v="3"/>
    <s v="September"/>
    <n v="9"/>
    <x v="2"/>
    <x v="3"/>
    <x v="3"/>
  </r>
  <r>
    <x v="75"/>
    <x v="12"/>
    <s v="Supply Chain"/>
    <x v="4"/>
    <x v="393"/>
    <s v="Seed"/>
    <n v="136000"/>
    <d v="2022-12-30T00:00:00"/>
    <x v="5"/>
    <s v="December"/>
    <n v="12"/>
    <x v="0"/>
    <x v="0"/>
    <x v="2"/>
  </r>
  <r>
    <x v="38"/>
    <x v="8"/>
    <s v="DevTools"/>
    <x v="3"/>
    <x v="394"/>
    <s v="Series B"/>
    <n v="25685000"/>
    <d v="2025-01-02T00:00:00"/>
    <x v="1"/>
    <s v="January"/>
    <n v="1"/>
    <x v="1"/>
    <x v="2"/>
    <x v="3"/>
  </r>
  <r>
    <x v="14"/>
    <x v="6"/>
    <s v="Grocery"/>
    <x v="2"/>
    <x v="19"/>
    <s v="Series A"/>
    <n v="2658000"/>
    <d v="2023-05-10T00:00:00"/>
    <x v="0"/>
    <s v="May"/>
    <n v="5"/>
    <x v="1"/>
    <x v="1"/>
    <x v="1"/>
  </r>
  <r>
    <x v="45"/>
    <x v="0"/>
    <s v="UpSkilling"/>
    <x v="3"/>
    <x v="29"/>
    <s v="Seed"/>
    <n v="70000"/>
    <d v="2020-02-02T00:00:00"/>
    <x v="4"/>
    <s v="February"/>
    <n v="2"/>
    <x v="0"/>
    <x v="0"/>
    <x v="0"/>
  </r>
  <r>
    <x v="28"/>
    <x v="13"/>
    <s v="Marketplace"/>
    <x v="0"/>
    <x v="395"/>
    <s v="Series C"/>
    <n v="239814000"/>
    <d v="2024-08-27T00:00:00"/>
    <x v="3"/>
    <s v="August"/>
    <n v="8"/>
    <x v="2"/>
    <x v="3"/>
    <x v="1"/>
  </r>
  <r>
    <x v="4"/>
    <x v="8"/>
    <s v="DevTools"/>
    <x v="6"/>
    <x v="2"/>
    <s v="Seed"/>
    <n v="83000"/>
    <d v="2023-01-14T00:00:00"/>
    <x v="0"/>
    <s v="January"/>
    <n v="1"/>
    <x v="0"/>
    <x v="0"/>
    <x v="3"/>
  </r>
  <r>
    <x v="130"/>
    <x v="13"/>
    <s v="D2C"/>
    <x v="7"/>
    <x v="396"/>
    <s v="Seed"/>
    <n v="1665000"/>
    <d v="2022-04-03T00:00:00"/>
    <x v="5"/>
    <s v="April"/>
    <n v="4"/>
    <x v="0"/>
    <x v="1"/>
    <x v="1"/>
  </r>
  <r>
    <x v="128"/>
    <x v="4"/>
    <s v="Home Services"/>
    <x v="6"/>
    <x v="86"/>
    <s v="Pre-Series A"/>
    <n v="279000"/>
    <d v="2020-05-17T00:00:00"/>
    <x v="4"/>
    <s v="May"/>
    <n v="5"/>
    <x v="1"/>
    <x v="0"/>
    <x v="2"/>
  </r>
  <r>
    <x v="59"/>
    <x v="13"/>
    <s v="Grocery"/>
    <x v="6"/>
    <x v="79"/>
    <s v="Seed"/>
    <n v="99000"/>
    <d v="2025-05-18T00:00:00"/>
    <x v="1"/>
    <s v="May"/>
    <n v="5"/>
    <x v="0"/>
    <x v="0"/>
    <x v="1"/>
  </r>
  <r>
    <x v="124"/>
    <x v="5"/>
    <s v="Fashion"/>
    <x v="4"/>
    <x v="397"/>
    <s v="Seed"/>
    <n v="369000"/>
    <d v="2023-07-25T00:00:00"/>
    <x v="0"/>
    <s v="July"/>
    <n v="7"/>
    <x v="0"/>
    <x v="0"/>
    <x v="1"/>
  </r>
  <r>
    <x v="172"/>
    <x v="12"/>
    <s v="Smart Farming"/>
    <x v="9"/>
    <x v="13"/>
    <s v="Series A"/>
    <n v="10633000"/>
    <d v="2024-02-28T00:00:00"/>
    <x v="3"/>
    <s v="February"/>
    <n v="2"/>
    <x v="1"/>
    <x v="2"/>
    <x v="2"/>
  </r>
  <r>
    <x v="133"/>
    <x v="12"/>
    <s v="Supply Chain"/>
    <x v="2"/>
    <x v="18"/>
    <s v="Seed"/>
    <n v="745000"/>
    <d v="2022-05-27T00:00:00"/>
    <x v="5"/>
    <s v="May"/>
    <n v="5"/>
    <x v="0"/>
    <x v="0"/>
    <x v="2"/>
  </r>
  <r>
    <x v="112"/>
    <x v="3"/>
    <s v="Wearables"/>
    <x v="3"/>
    <x v="398"/>
    <s v="Seed"/>
    <n v="980000"/>
    <d v="2021-02-22T00:00:00"/>
    <x v="2"/>
    <s v="February"/>
    <n v="2"/>
    <x v="0"/>
    <x v="0"/>
    <x v="3"/>
  </r>
  <r>
    <x v="5"/>
    <x v="1"/>
    <s v="Content"/>
    <x v="4"/>
    <x v="13"/>
    <s v="Seed"/>
    <n v="568000"/>
    <d v="2023-08-11T00:00:00"/>
    <x v="0"/>
    <s v="August"/>
    <n v="8"/>
    <x v="0"/>
    <x v="0"/>
    <x v="1"/>
  </r>
  <r>
    <x v="104"/>
    <x v="9"/>
    <s v="Last Mile"/>
    <x v="3"/>
    <x v="57"/>
    <s v="Series D"/>
    <n v="246176000"/>
    <d v="2021-11-09T00:00:00"/>
    <x v="2"/>
    <s v="November"/>
    <n v="11"/>
    <x v="2"/>
    <x v="3"/>
    <x v="2"/>
  </r>
  <r>
    <x v="3"/>
    <x v="4"/>
    <s v="PropTech"/>
    <x v="3"/>
    <x v="399"/>
    <s v="Series A"/>
    <n v="9971000"/>
    <d v="2022-02-20T00:00:00"/>
    <x v="5"/>
    <s v="February"/>
    <n v="2"/>
    <x v="1"/>
    <x v="1"/>
    <x v="2"/>
  </r>
  <r>
    <x v="173"/>
    <x v="3"/>
    <s v="Audio"/>
    <x v="3"/>
    <x v="64"/>
    <s v="Seed"/>
    <n v="126000"/>
    <d v="2020-10-16T00:00:00"/>
    <x v="4"/>
    <s v="October"/>
    <n v="10"/>
    <x v="0"/>
    <x v="0"/>
    <x v="3"/>
  </r>
  <r>
    <x v="113"/>
    <x v="12"/>
    <s v="Marketplace"/>
    <x v="3"/>
    <x v="50"/>
    <s v="Seed"/>
    <n v="304000"/>
    <d v="2020-06-09T00:00:00"/>
    <x v="4"/>
    <s v="June"/>
    <n v="6"/>
    <x v="0"/>
    <x v="0"/>
    <x v="2"/>
  </r>
  <r>
    <x v="127"/>
    <x v="10"/>
    <s v="Diagnostics"/>
    <x v="2"/>
    <x v="400"/>
    <s v="Seed"/>
    <n v="113000"/>
    <d v="2022-07-07T00:00:00"/>
    <x v="5"/>
    <s v="July"/>
    <n v="7"/>
    <x v="0"/>
    <x v="0"/>
    <x v="0"/>
  </r>
  <r>
    <x v="96"/>
    <x v="6"/>
    <s v="Food Delivery"/>
    <x v="4"/>
    <x v="401"/>
    <s v="Series A"/>
    <n v="14507000"/>
    <d v="2022-05-15T00:00:00"/>
    <x v="5"/>
    <s v="May"/>
    <n v="5"/>
    <x v="1"/>
    <x v="2"/>
    <x v="1"/>
  </r>
  <r>
    <x v="8"/>
    <x v="5"/>
    <s v="Grocery"/>
    <x v="1"/>
    <x v="98"/>
    <s v="Series C"/>
    <n v="257828000"/>
    <d v="2022-05-25T00:00:00"/>
    <x v="5"/>
    <s v="May"/>
    <n v="5"/>
    <x v="2"/>
    <x v="3"/>
    <x v="1"/>
  </r>
  <r>
    <x v="64"/>
    <x v="12"/>
    <s v="Marketplace"/>
    <x v="4"/>
    <x v="14"/>
    <s v="Series A"/>
    <n v="1113000"/>
    <d v="2020-12-25T00:00:00"/>
    <x v="4"/>
    <s v="December"/>
    <n v="12"/>
    <x v="1"/>
    <x v="1"/>
    <x v="2"/>
  </r>
  <r>
    <x v="140"/>
    <x v="3"/>
    <s v="Wearables"/>
    <x v="9"/>
    <x v="103"/>
    <s v="Series A"/>
    <n v="6758000"/>
    <d v="2022-09-11T00:00:00"/>
    <x v="5"/>
    <s v="September"/>
    <n v="9"/>
    <x v="1"/>
    <x v="1"/>
    <x v="3"/>
  </r>
  <r>
    <x v="106"/>
    <x v="0"/>
    <s v="Test Prep"/>
    <x v="1"/>
    <x v="3"/>
    <s v="Growth"/>
    <n v="574676000"/>
    <d v="2024-02-04T00:00:00"/>
    <x v="3"/>
    <s v="February"/>
    <n v="2"/>
    <x v="2"/>
    <x v="3"/>
    <x v="0"/>
  </r>
  <r>
    <x v="66"/>
    <x v="8"/>
    <s v="MarTech"/>
    <x v="5"/>
    <x v="86"/>
    <s v="Seed"/>
    <n v="97000"/>
    <d v="2023-04-19T00:00:00"/>
    <x v="0"/>
    <s v="April"/>
    <n v="4"/>
    <x v="0"/>
    <x v="0"/>
    <x v="3"/>
  </r>
  <r>
    <x v="91"/>
    <x v="13"/>
    <s v="Fashion"/>
    <x v="6"/>
    <x v="402"/>
    <s v="Seed"/>
    <n v="406000"/>
    <d v="2024-04-11T00:00:00"/>
    <x v="3"/>
    <s v="April"/>
    <n v="4"/>
    <x v="0"/>
    <x v="0"/>
    <x v="1"/>
  </r>
  <r>
    <x v="42"/>
    <x v="3"/>
    <s v="Smart Home"/>
    <x v="7"/>
    <x v="154"/>
    <s v="Series B"/>
    <n v="63289000"/>
    <d v="2023-08-26T00:00:00"/>
    <x v="0"/>
    <s v="August"/>
    <n v="8"/>
    <x v="1"/>
    <x v="2"/>
    <x v="3"/>
  </r>
  <r>
    <x v="31"/>
    <x v="11"/>
    <s v="Security"/>
    <x v="1"/>
    <x v="57"/>
    <s v="Series B"/>
    <n v="5493000"/>
    <d v="2023-08-14T00:00:00"/>
    <x v="0"/>
    <s v="August"/>
    <n v="8"/>
    <x v="1"/>
    <x v="1"/>
    <x v="3"/>
  </r>
  <r>
    <x v="143"/>
    <x v="10"/>
    <s v="Pharmacy"/>
    <x v="3"/>
    <x v="403"/>
    <s v="Series A"/>
    <n v="6610000"/>
    <d v="2025-05-03T00:00:00"/>
    <x v="1"/>
    <s v="May"/>
    <n v="5"/>
    <x v="1"/>
    <x v="1"/>
    <x v="0"/>
  </r>
  <r>
    <x v="35"/>
    <x v="12"/>
    <s v="Supply Chain"/>
    <x v="8"/>
    <x v="32"/>
    <s v="Angel"/>
    <n v="12000"/>
    <d v="2024-11-29T00:00:00"/>
    <x v="3"/>
    <s v="November"/>
    <n v="11"/>
    <x v="0"/>
    <x v="0"/>
    <x v="2"/>
  </r>
  <r>
    <x v="71"/>
    <x v="2"/>
    <s v="Micro Mobility"/>
    <x v="9"/>
    <x v="154"/>
    <s v="Series A"/>
    <n v="12223000"/>
    <d v="2024-02-12T00:00:00"/>
    <x v="3"/>
    <s v="February"/>
    <n v="2"/>
    <x v="1"/>
    <x v="2"/>
    <x v="2"/>
  </r>
  <r>
    <x v="46"/>
    <x v="13"/>
    <s v="Grocery"/>
    <x v="7"/>
    <x v="404"/>
    <s v="Series C"/>
    <n v="277385000"/>
    <d v="2021-07-04T00:00:00"/>
    <x v="2"/>
    <s v="July"/>
    <n v="7"/>
    <x v="2"/>
    <x v="3"/>
    <x v="1"/>
  </r>
  <r>
    <x v="147"/>
    <x v="11"/>
    <s v="Security"/>
    <x v="1"/>
    <x v="204"/>
    <s v="Seed"/>
    <n v="1628000"/>
    <d v="2024-05-03T00:00:00"/>
    <x v="3"/>
    <s v="May"/>
    <n v="5"/>
    <x v="0"/>
    <x v="1"/>
    <x v="3"/>
  </r>
  <r>
    <x v="126"/>
    <x v="10"/>
    <s v="Diagnostics"/>
    <x v="7"/>
    <x v="61"/>
    <s v="Seed"/>
    <n v="288000"/>
    <d v="2020-10-02T00:00:00"/>
    <x v="4"/>
    <s v="October"/>
    <n v="10"/>
    <x v="0"/>
    <x v="0"/>
    <x v="0"/>
  </r>
  <r>
    <x v="69"/>
    <x v="3"/>
    <s v="Smart Home"/>
    <x v="3"/>
    <x v="405"/>
    <s v="Seed"/>
    <n v="1202000"/>
    <d v="2020-04-30T00:00:00"/>
    <x v="4"/>
    <s v="April"/>
    <n v="4"/>
    <x v="0"/>
    <x v="1"/>
    <x v="3"/>
  </r>
  <r>
    <x v="20"/>
    <x v="3"/>
    <s v="Smart Home"/>
    <x v="6"/>
    <x v="17"/>
    <s v="Seed"/>
    <n v="1127000"/>
    <d v="2023-07-27T00:00:00"/>
    <x v="0"/>
    <s v="July"/>
    <n v="7"/>
    <x v="0"/>
    <x v="1"/>
    <x v="3"/>
  </r>
  <r>
    <x v="123"/>
    <x v="9"/>
    <s v="Last Mile"/>
    <x v="7"/>
    <x v="334"/>
    <s v="Pre-Seed"/>
    <n v="42000"/>
    <d v="2021-04-25T00:00:00"/>
    <x v="2"/>
    <s v="April"/>
    <n v="4"/>
    <x v="0"/>
    <x v="0"/>
    <x v="2"/>
  </r>
  <r>
    <x v="174"/>
    <x v="5"/>
    <s v="E-Retail"/>
    <x v="6"/>
    <x v="0"/>
    <s v="Series C"/>
    <n v="188760000"/>
    <d v="2020-03-26T00:00:00"/>
    <x v="4"/>
    <s v="March"/>
    <n v="3"/>
    <x v="2"/>
    <x v="3"/>
    <x v="1"/>
  </r>
  <r>
    <x v="147"/>
    <x v="2"/>
    <s v="EV"/>
    <x v="5"/>
    <x v="201"/>
    <s v="Series A"/>
    <n v="1105000"/>
    <d v="2021-11-21T00:00:00"/>
    <x v="2"/>
    <s v="November"/>
    <n v="11"/>
    <x v="1"/>
    <x v="1"/>
    <x v="2"/>
  </r>
  <r>
    <x v="87"/>
    <x v="11"/>
    <s v="Analytics"/>
    <x v="7"/>
    <x v="289"/>
    <s v="Series B"/>
    <n v="26119000"/>
    <d v="2022-02-14T00:00:00"/>
    <x v="5"/>
    <s v="February"/>
    <n v="2"/>
    <x v="1"/>
    <x v="2"/>
    <x v="3"/>
  </r>
  <r>
    <x v="78"/>
    <x v="7"/>
    <s v="InsurTech"/>
    <x v="9"/>
    <x v="29"/>
    <s v="Series B"/>
    <n v="9461000"/>
    <d v="2024-12-23T00:00:00"/>
    <x v="3"/>
    <s v="December"/>
    <n v="12"/>
    <x v="1"/>
    <x v="1"/>
    <x v="4"/>
  </r>
  <r>
    <x v="27"/>
    <x v="9"/>
    <s v="Fleet Management"/>
    <x v="3"/>
    <x v="406"/>
    <s v="Pre-Series A"/>
    <n v="132000"/>
    <d v="2023-06-20T00:00:00"/>
    <x v="0"/>
    <s v="June"/>
    <n v="6"/>
    <x v="1"/>
    <x v="0"/>
    <x v="2"/>
  </r>
  <r>
    <x v="175"/>
    <x v="4"/>
    <s v="Home Services"/>
    <x v="1"/>
    <x v="6"/>
    <s v="Series B"/>
    <n v="6189000"/>
    <d v="2024-11-23T00:00:00"/>
    <x v="3"/>
    <s v="November"/>
    <n v="11"/>
    <x v="1"/>
    <x v="1"/>
    <x v="2"/>
  </r>
  <r>
    <x v="70"/>
    <x v="0"/>
    <s v="Coding Bootcamp"/>
    <x v="9"/>
    <x v="14"/>
    <s v="Series B"/>
    <n v="34466000"/>
    <d v="2024-06-14T00:00:00"/>
    <x v="3"/>
    <s v="June"/>
    <n v="6"/>
    <x v="1"/>
    <x v="2"/>
    <x v="0"/>
  </r>
  <r>
    <x v="2"/>
    <x v="11"/>
    <s v="Automation"/>
    <x v="0"/>
    <x v="323"/>
    <s v="Series B"/>
    <n v="12830000"/>
    <d v="2021-08-24T00:00:00"/>
    <x v="2"/>
    <s v="August"/>
    <n v="8"/>
    <x v="1"/>
    <x v="2"/>
    <x v="3"/>
  </r>
  <r>
    <x v="12"/>
    <x v="7"/>
    <s v="Lending"/>
    <x v="5"/>
    <x v="62"/>
    <s v="Series C"/>
    <n v="142371000"/>
    <d v="2021-09-09T00:00:00"/>
    <x v="2"/>
    <s v="September"/>
    <n v="9"/>
    <x v="2"/>
    <x v="3"/>
    <x v="4"/>
  </r>
  <r>
    <x v="76"/>
    <x v="3"/>
    <s v="Smart Home"/>
    <x v="8"/>
    <x v="98"/>
    <s v="Seed"/>
    <n v="64000"/>
    <d v="2021-03-09T00:00:00"/>
    <x v="2"/>
    <s v="March"/>
    <n v="3"/>
    <x v="0"/>
    <x v="0"/>
    <x v="3"/>
  </r>
  <r>
    <x v="46"/>
    <x v="13"/>
    <s v="Fashion"/>
    <x v="1"/>
    <x v="138"/>
    <s v="Seed"/>
    <n v="160000"/>
    <d v="2025-03-17T00:00:00"/>
    <x v="1"/>
    <s v="March"/>
    <n v="3"/>
    <x v="0"/>
    <x v="0"/>
    <x v="1"/>
  </r>
  <r>
    <x v="23"/>
    <x v="9"/>
    <s v="Fleet Management"/>
    <x v="5"/>
    <x v="110"/>
    <s v="Bridge"/>
    <n v="366000"/>
    <d v="2023-10-05T00:00:00"/>
    <x v="0"/>
    <s v="October"/>
    <n v="10"/>
    <x v="1"/>
    <x v="0"/>
    <x v="2"/>
  </r>
  <r>
    <x v="72"/>
    <x v="1"/>
    <s v="Content"/>
    <x v="3"/>
    <x v="143"/>
    <s v="Angel"/>
    <n v="53000"/>
    <d v="2024-04-18T00:00:00"/>
    <x v="3"/>
    <s v="April"/>
    <n v="4"/>
    <x v="0"/>
    <x v="0"/>
    <x v="1"/>
  </r>
  <r>
    <x v="51"/>
    <x v="5"/>
    <s v="Fashion"/>
    <x v="9"/>
    <x v="64"/>
    <s v="Series C"/>
    <n v="47415000"/>
    <d v="2021-04-02T00:00:00"/>
    <x v="2"/>
    <s v="April"/>
    <n v="4"/>
    <x v="2"/>
    <x v="2"/>
    <x v="1"/>
  </r>
  <r>
    <x v="46"/>
    <x v="13"/>
    <s v="Quick Commerce"/>
    <x v="7"/>
    <x v="98"/>
    <s v="Series B"/>
    <n v="28354000"/>
    <d v="2025-04-03T00:00:00"/>
    <x v="1"/>
    <s v="April"/>
    <n v="4"/>
    <x v="1"/>
    <x v="2"/>
    <x v="1"/>
  </r>
  <r>
    <x v="44"/>
    <x v="12"/>
    <s v="Smart Farming"/>
    <x v="4"/>
    <x v="26"/>
    <s v="Series D"/>
    <n v="384546000"/>
    <d v="2025-05-07T00:00:00"/>
    <x v="1"/>
    <s v="May"/>
    <n v="5"/>
    <x v="2"/>
    <x v="3"/>
    <x v="2"/>
  </r>
  <r>
    <x v="112"/>
    <x v="0"/>
    <s v="Coding Bootcamp"/>
    <x v="9"/>
    <x v="407"/>
    <s v="Seed"/>
    <n v="485000"/>
    <d v="2022-01-17T00:00:00"/>
    <x v="5"/>
    <s v="January"/>
    <n v="1"/>
    <x v="0"/>
    <x v="0"/>
    <x v="0"/>
  </r>
  <r>
    <x v="84"/>
    <x v="7"/>
    <s v="NeoBank"/>
    <x v="5"/>
    <x v="69"/>
    <s v="Seed"/>
    <n v="118000"/>
    <d v="2024-07-29T00:00:00"/>
    <x v="3"/>
    <s v="July"/>
    <n v="7"/>
    <x v="0"/>
    <x v="0"/>
    <x v="4"/>
  </r>
  <r>
    <x v="59"/>
    <x v="4"/>
    <s v="Home Services"/>
    <x v="4"/>
    <x v="408"/>
    <s v="Series A"/>
    <n v="1068000"/>
    <d v="2020-10-25T00:00:00"/>
    <x v="4"/>
    <s v="October"/>
    <n v="10"/>
    <x v="1"/>
    <x v="1"/>
    <x v="2"/>
  </r>
  <r>
    <x v="108"/>
    <x v="1"/>
    <s v="Social"/>
    <x v="2"/>
    <x v="409"/>
    <s v="Debt"/>
    <n v="22303000"/>
    <d v="2023-12-17T00:00:00"/>
    <x v="0"/>
    <s v="December"/>
    <n v="12"/>
    <x v="2"/>
    <x v="2"/>
    <x v="1"/>
  </r>
  <r>
    <x v="32"/>
    <x v="6"/>
    <s v="Cloud Kitchen"/>
    <x v="7"/>
    <x v="1"/>
    <s v="Seed"/>
    <n v="54000"/>
    <d v="2024-01-07T00:00:00"/>
    <x v="3"/>
    <s v="January"/>
    <n v="1"/>
    <x v="0"/>
    <x v="0"/>
    <x v="1"/>
  </r>
  <r>
    <x v="111"/>
    <x v="1"/>
    <s v="Streaming"/>
    <x v="1"/>
    <x v="1"/>
    <s v="Angel"/>
    <n v="69000"/>
    <d v="2024-05-08T00:00:00"/>
    <x v="3"/>
    <s v="May"/>
    <n v="5"/>
    <x v="0"/>
    <x v="0"/>
    <x v="1"/>
  </r>
  <r>
    <x v="105"/>
    <x v="11"/>
    <s v="Automation"/>
    <x v="4"/>
    <x v="46"/>
    <s v="Debt"/>
    <n v="2677000"/>
    <d v="2023-01-27T00:00:00"/>
    <x v="0"/>
    <s v="January"/>
    <n v="1"/>
    <x v="2"/>
    <x v="1"/>
    <x v="3"/>
  </r>
  <r>
    <x v="42"/>
    <x v="6"/>
    <s v="Cloud Kitchen"/>
    <x v="8"/>
    <x v="410"/>
    <s v="Series B"/>
    <n v="67565000"/>
    <d v="2021-08-01T00:00:00"/>
    <x v="2"/>
    <s v="August"/>
    <n v="8"/>
    <x v="1"/>
    <x v="2"/>
    <x v="1"/>
  </r>
  <r>
    <x v="67"/>
    <x v="10"/>
    <s v="Pharmacy"/>
    <x v="6"/>
    <x v="411"/>
    <s v="Growth"/>
    <n v="411602000"/>
    <d v="2020-04-20T00:00:00"/>
    <x v="4"/>
    <s v="April"/>
    <n v="4"/>
    <x v="2"/>
    <x v="3"/>
    <x v="0"/>
  </r>
  <r>
    <x v="5"/>
    <x v="1"/>
    <s v="Content"/>
    <x v="2"/>
    <x v="4"/>
    <s v="Angel"/>
    <n v="99000"/>
    <d v="2021-03-05T00:00:00"/>
    <x v="2"/>
    <s v="March"/>
    <n v="3"/>
    <x v="0"/>
    <x v="0"/>
    <x v="1"/>
  </r>
  <r>
    <x v="127"/>
    <x v="7"/>
    <s v="WealthTech"/>
    <x v="6"/>
    <x v="14"/>
    <s v="Seed"/>
    <n v="182000"/>
    <d v="2024-05-27T00:00:00"/>
    <x v="3"/>
    <s v="May"/>
    <n v="5"/>
    <x v="0"/>
    <x v="0"/>
    <x v="4"/>
  </r>
  <r>
    <x v="40"/>
    <x v="10"/>
    <s v="Telemedicine"/>
    <x v="0"/>
    <x v="65"/>
    <s v="Pre-Series A"/>
    <n v="585000"/>
    <d v="2022-08-28T00:00:00"/>
    <x v="5"/>
    <s v="August"/>
    <n v="8"/>
    <x v="1"/>
    <x v="0"/>
    <x v="0"/>
  </r>
  <r>
    <x v="0"/>
    <x v="2"/>
    <s v="Micro Mobility"/>
    <x v="7"/>
    <x v="18"/>
    <s v="Series A"/>
    <n v="2970000"/>
    <d v="2025-06-09T00:00:00"/>
    <x v="1"/>
    <s v="June"/>
    <n v="6"/>
    <x v="1"/>
    <x v="1"/>
    <x v="2"/>
  </r>
  <r>
    <x v="58"/>
    <x v="13"/>
    <s v="Marketplace"/>
    <x v="9"/>
    <x v="412"/>
    <s v="Series A"/>
    <n v="3668000"/>
    <d v="2023-11-09T00:00:00"/>
    <x v="0"/>
    <s v="November"/>
    <n v="11"/>
    <x v="1"/>
    <x v="1"/>
    <x v="1"/>
  </r>
  <r>
    <x v="45"/>
    <x v="5"/>
    <s v="Fashion"/>
    <x v="0"/>
    <x v="413"/>
    <s v="Series C"/>
    <n v="109404000"/>
    <d v="2024-11-06T00:00:00"/>
    <x v="3"/>
    <s v="November"/>
    <n v="11"/>
    <x v="2"/>
    <x v="3"/>
    <x v="1"/>
  </r>
  <r>
    <x v="139"/>
    <x v="13"/>
    <s v="Quick Commerce"/>
    <x v="5"/>
    <x v="125"/>
    <s v="Series B"/>
    <n v="56361000"/>
    <d v="2025-02-03T00:00:00"/>
    <x v="1"/>
    <s v="February"/>
    <n v="2"/>
    <x v="1"/>
    <x v="2"/>
    <x v="1"/>
  </r>
  <r>
    <x v="144"/>
    <x v="1"/>
    <s v="Social"/>
    <x v="6"/>
    <x v="414"/>
    <s v="Seed"/>
    <n v="1886000"/>
    <d v="2022-09-18T00:00:00"/>
    <x v="5"/>
    <s v="September"/>
    <n v="9"/>
    <x v="0"/>
    <x v="1"/>
    <x v="1"/>
  </r>
  <r>
    <x v="176"/>
    <x v="11"/>
    <s v="Automation"/>
    <x v="4"/>
    <x v="86"/>
    <s v="Pre-Series A"/>
    <n v="587000"/>
    <d v="2023-12-06T00:00:00"/>
    <x v="0"/>
    <s v="December"/>
    <n v="12"/>
    <x v="1"/>
    <x v="0"/>
    <x v="3"/>
  </r>
  <r>
    <x v="177"/>
    <x v="11"/>
    <s v="Automation"/>
    <x v="8"/>
    <x v="415"/>
    <s v="Series B"/>
    <n v="15923000"/>
    <d v="2024-06-06T00:00:00"/>
    <x v="3"/>
    <s v="June"/>
    <n v="6"/>
    <x v="1"/>
    <x v="2"/>
    <x v="3"/>
  </r>
  <r>
    <x v="0"/>
    <x v="10"/>
    <s v="Diagnostics"/>
    <x v="1"/>
    <x v="64"/>
    <s v="Series A"/>
    <n v="3130000"/>
    <d v="2024-06-27T00:00:00"/>
    <x v="3"/>
    <s v="June"/>
    <n v="6"/>
    <x v="1"/>
    <x v="1"/>
    <x v="0"/>
  </r>
  <r>
    <x v="39"/>
    <x v="4"/>
    <s v="PropTech"/>
    <x v="0"/>
    <x v="17"/>
    <s v="Series A"/>
    <n v="7370000"/>
    <d v="2024-10-09T00:00:00"/>
    <x v="3"/>
    <s v="October"/>
    <n v="10"/>
    <x v="1"/>
    <x v="1"/>
    <x v="2"/>
  </r>
  <r>
    <x v="27"/>
    <x v="8"/>
    <s v="DevTools"/>
    <x v="9"/>
    <x v="57"/>
    <s v="Bridge"/>
    <n v="121000"/>
    <d v="2023-09-09T00:00:00"/>
    <x v="0"/>
    <s v="September"/>
    <n v="9"/>
    <x v="1"/>
    <x v="0"/>
    <x v="3"/>
  </r>
  <r>
    <x v="81"/>
    <x v="2"/>
    <s v="EV"/>
    <x v="8"/>
    <x v="129"/>
    <s v="Series A"/>
    <n v="1349000"/>
    <d v="2023-03-27T00:00:00"/>
    <x v="0"/>
    <s v="March"/>
    <n v="3"/>
    <x v="1"/>
    <x v="1"/>
    <x v="2"/>
  </r>
  <r>
    <x v="37"/>
    <x v="2"/>
    <s v="Ride Sharing"/>
    <x v="0"/>
    <x v="29"/>
    <s v="Series B"/>
    <n v="13365000"/>
    <d v="2020-04-01T00:00:00"/>
    <x v="4"/>
    <s v="April"/>
    <n v="4"/>
    <x v="1"/>
    <x v="2"/>
    <x v="2"/>
  </r>
  <r>
    <x v="134"/>
    <x v="11"/>
    <s v="Analytics"/>
    <x v="4"/>
    <x v="148"/>
    <s v="Series A"/>
    <n v="2177000"/>
    <d v="2021-03-18T00:00:00"/>
    <x v="2"/>
    <s v="March"/>
    <n v="3"/>
    <x v="1"/>
    <x v="1"/>
    <x v="3"/>
  </r>
  <r>
    <x v="16"/>
    <x v="13"/>
    <s v="Grocery"/>
    <x v="2"/>
    <x v="86"/>
    <s v="Seed"/>
    <n v="149000"/>
    <d v="2023-08-23T00:00:00"/>
    <x v="0"/>
    <s v="August"/>
    <n v="8"/>
    <x v="0"/>
    <x v="0"/>
    <x v="1"/>
  </r>
  <r>
    <x v="123"/>
    <x v="4"/>
    <s v="Home Services"/>
    <x v="4"/>
    <x v="416"/>
    <s v="Series A"/>
    <n v="1883000"/>
    <d v="2020-05-24T00:00:00"/>
    <x v="4"/>
    <s v="May"/>
    <n v="5"/>
    <x v="1"/>
    <x v="1"/>
    <x v="2"/>
  </r>
  <r>
    <x v="28"/>
    <x v="12"/>
    <s v="Marketplace"/>
    <x v="8"/>
    <x v="103"/>
    <s v="Series A"/>
    <n v="1121000"/>
    <d v="2022-05-09T00:00:00"/>
    <x v="5"/>
    <s v="May"/>
    <n v="5"/>
    <x v="1"/>
    <x v="1"/>
    <x v="2"/>
  </r>
  <r>
    <x v="137"/>
    <x v="12"/>
    <s v="Supply Chain"/>
    <x v="0"/>
    <x v="110"/>
    <s v="Seed"/>
    <n v="53000"/>
    <d v="2022-12-24T00:00:00"/>
    <x v="5"/>
    <s v="December"/>
    <n v="12"/>
    <x v="0"/>
    <x v="0"/>
    <x v="2"/>
  </r>
  <r>
    <x v="20"/>
    <x v="13"/>
    <s v="D2C"/>
    <x v="0"/>
    <x v="64"/>
    <s v="Pre-Series A"/>
    <n v="972000"/>
    <d v="2021-11-14T00:00:00"/>
    <x v="2"/>
    <s v="November"/>
    <n v="11"/>
    <x v="1"/>
    <x v="0"/>
    <x v="1"/>
  </r>
  <r>
    <x v="111"/>
    <x v="9"/>
    <s v="Last Mile"/>
    <x v="0"/>
    <x v="14"/>
    <s v="Pre-Series A"/>
    <n v="268000"/>
    <d v="2025-06-07T00:00:00"/>
    <x v="1"/>
    <s v="June"/>
    <n v="6"/>
    <x v="1"/>
    <x v="0"/>
    <x v="2"/>
  </r>
  <r>
    <x v="14"/>
    <x v="5"/>
    <s v="E-Retail"/>
    <x v="4"/>
    <x v="79"/>
    <s v="Series A"/>
    <n v="2831000"/>
    <d v="2024-11-28T00:00:00"/>
    <x v="3"/>
    <s v="November"/>
    <n v="11"/>
    <x v="1"/>
    <x v="1"/>
    <x v="1"/>
  </r>
  <r>
    <x v="72"/>
    <x v="8"/>
    <s v="HRTech"/>
    <x v="8"/>
    <x v="7"/>
    <s v="Seed"/>
    <n v="613000"/>
    <d v="2020-07-21T00:00:00"/>
    <x v="4"/>
    <s v="July"/>
    <n v="7"/>
    <x v="0"/>
    <x v="0"/>
    <x v="3"/>
  </r>
  <r>
    <x v="124"/>
    <x v="5"/>
    <s v="Fashion"/>
    <x v="8"/>
    <x v="319"/>
    <s v="Series A"/>
    <n v="1806000"/>
    <d v="2024-12-11T00:00:00"/>
    <x v="3"/>
    <s v="December"/>
    <n v="12"/>
    <x v="1"/>
    <x v="1"/>
    <x v="1"/>
  </r>
  <r>
    <x v="139"/>
    <x v="1"/>
    <s v="Social"/>
    <x v="4"/>
    <x v="417"/>
    <s v="Seed"/>
    <n v="1663000"/>
    <d v="2023-03-08T00:00:00"/>
    <x v="0"/>
    <s v="March"/>
    <n v="3"/>
    <x v="0"/>
    <x v="1"/>
    <x v="1"/>
  </r>
  <r>
    <x v="48"/>
    <x v="1"/>
    <s v="Social"/>
    <x v="6"/>
    <x v="39"/>
    <s v="Pre-Series A"/>
    <n v="611000"/>
    <d v="2022-07-26T00:00:00"/>
    <x v="5"/>
    <s v="July"/>
    <n v="7"/>
    <x v="1"/>
    <x v="0"/>
    <x v="1"/>
  </r>
  <r>
    <x v="37"/>
    <x v="2"/>
    <s v="EV"/>
    <x v="2"/>
    <x v="111"/>
    <s v="Bridge"/>
    <n v="70000"/>
    <d v="2022-12-02T00:00:00"/>
    <x v="5"/>
    <s v="December"/>
    <n v="12"/>
    <x v="1"/>
    <x v="0"/>
    <x v="2"/>
  </r>
  <r>
    <x v="46"/>
    <x v="9"/>
    <s v="Supply Chain"/>
    <x v="7"/>
    <x v="19"/>
    <s v="Series D"/>
    <n v="130783000"/>
    <d v="2023-07-23T00:00:00"/>
    <x v="0"/>
    <s v="July"/>
    <n v="7"/>
    <x v="2"/>
    <x v="3"/>
    <x v="2"/>
  </r>
  <r>
    <x v="43"/>
    <x v="10"/>
    <s v="Telemedicine"/>
    <x v="0"/>
    <x v="418"/>
    <s v="Series B"/>
    <n v="57218000"/>
    <d v="2023-02-08T00:00:00"/>
    <x v="0"/>
    <s v="February"/>
    <n v="2"/>
    <x v="1"/>
    <x v="2"/>
    <x v="0"/>
  </r>
  <r>
    <x v="16"/>
    <x v="4"/>
    <s v="Rental Tech"/>
    <x v="4"/>
    <x v="419"/>
    <s v="Series A"/>
    <n v="12915000"/>
    <d v="2022-11-20T00:00:00"/>
    <x v="5"/>
    <s v="November"/>
    <n v="11"/>
    <x v="1"/>
    <x v="2"/>
    <x v="2"/>
  </r>
  <r>
    <x v="178"/>
    <x v="0"/>
    <s v="Test Prep"/>
    <x v="9"/>
    <x v="57"/>
    <s v="Series B"/>
    <n v="18272000"/>
    <d v="2024-03-15T00:00:00"/>
    <x v="3"/>
    <s v="March"/>
    <n v="3"/>
    <x v="1"/>
    <x v="2"/>
    <x v="0"/>
  </r>
  <r>
    <x v="55"/>
    <x v="12"/>
    <s v="Smart Farming"/>
    <x v="4"/>
    <x v="420"/>
    <s v="Series B"/>
    <n v="27390000"/>
    <d v="2024-12-11T00:00:00"/>
    <x v="3"/>
    <s v="December"/>
    <n v="12"/>
    <x v="1"/>
    <x v="2"/>
    <x v="2"/>
  </r>
  <r>
    <x v="19"/>
    <x v="11"/>
    <s v="Analytics"/>
    <x v="8"/>
    <x v="365"/>
    <s v="Pre-Series A"/>
    <n v="147000"/>
    <d v="2020-04-14T00:00:00"/>
    <x v="4"/>
    <s v="April"/>
    <n v="4"/>
    <x v="1"/>
    <x v="0"/>
    <x v="3"/>
  </r>
  <r>
    <x v="136"/>
    <x v="8"/>
    <s v="DevTools"/>
    <x v="8"/>
    <x v="47"/>
    <s v="Series D"/>
    <n v="489935000"/>
    <d v="2024-10-22T00:00:00"/>
    <x v="3"/>
    <s v="October"/>
    <n v="10"/>
    <x v="2"/>
    <x v="3"/>
    <x v="3"/>
  </r>
  <r>
    <x v="62"/>
    <x v="0"/>
    <s v="Test Prep"/>
    <x v="6"/>
    <x v="65"/>
    <s v="Pre-Series A"/>
    <n v="170000"/>
    <d v="2025-03-05T00:00:00"/>
    <x v="1"/>
    <s v="March"/>
    <n v="3"/>
    <x v="1"/>
    <x v="0"/>
    <x v="0"/>
  </r>
  <r>
    <x v="91"/>
    <x v="12"/>
    <s v="Smart Farming"/>
    <x v="1"/>
    <x v="421"/>
    <s v="Pre-Series A"/>
    <n v="876000"/>
    <d v="2023-06-14T00:00:00"/>
    <x v="0"/>
    <s v="June"/>
    <n v="6"/>
    <x v="1"/>
    <x v="0"/>
    <x v="2"/>
  </r>
  <r>
    <x v="147"/>
    <x v="1"/>
    <s v="Social"/>
    <x v="9"/>
    <x v="60"/>
    <s v="Pre-Series A"/>
    <n v="446000"/>
    <d v="2020-07-26T00:00:00"/>
    <x v="4"/>
    <s v="July"/>
    <n v="7"/>
    <x v="1"/>
    <x v="0"/>
    <x v="1"/>
  </r>
  <r>
    <x v="8"/>
    <x v="3"/>
    <s v="Audio"/>
    <x v="4"/>
    <x v="61"/>
    <s v="Series C"/>
    <n v="103701000"/>
    <d v="2021-05-27T00:00:00"/>
    <x v="2"/>
    <s v="May"/>
    <n v="5"/>
    <x v="2"/>
    <x v="3"/>
    <x v="3"/>
  </r>
  <r>
    <x v="141"/>
    <x v="6"/>
    <s v="Cloud Kitchen"/>
    <x v="8"/>
    <x v="119"/>
    <s v="Series C"/>
    <n v="80168000"/>
    <d v="2020-08-10T00:00:00"/>
    <x v="4"/>
    <s v="August"/>
    <n v="8"/>
    <x v="2"/>
    <x v="2"/>
    <x v="1"/>
  </r>
  <r>
    <x v="92"/>
    <x v="6"/>
    <s v="Cloud Kitchen"/>
    <x v="7"/>
    <x v="17"/>
    <s v="Private Equity"/>
    <n v="170086000"/>
    <d v="2023-12-23T00:00:00"/>
    <x v="0"/>
    <s v="December"/>
    <n v="12"/>
    <x v="2"/>
    <x v="3"/>
    <x v="1"/>
  </r>
  <r>
    <x v="179"/>
    <x v="6"/>
    <s v="Food Delivery"/>
    <x v="7"/>
    <x v="422"/>
    <s v="Angel"/>
    <n v="8000"/>
    <d v="2020-11-24T00:00:00"/>
    <x v="4"/>
    <s v="November"/>
    <n v="11"/>
    <x v="0"/>
    <x v="0"/>
    <x v="1"/>
  </r>
  <r>
    <x v="98"/>
    <x v="3"/>
    <s v="Smart Home"/>
    <x v="5"/>
    <x v="103"/>
    <s v="Series C"/>
    <n v="36336000"/>
    <d v="2024-01-02T00:00:00"/>
    <x v="3"/>
    <s v="January"/>
    <n v="1"/>
    <x v="2"/>
    <x v="2"/>
    <x v="3"/>
  </r>
  <r>
    <x v="57"/>
    <x v="1"/>
    <s v="Content"/>
    <x v="4"/>
    <x v="64"/>
    <s v="Seed"/>
    <n v="99000"/>
    <d v="2020-08-08T00:00:00"/>
    <x v="4"/>
    <s v="August"/>
    <n v="8"/>
    <x v="0"/>
    <x v="0"/>
    <x v="1"/>
  </r>
  <r>
    <x v="116"/>
    <x v="5"/>
    <s v="Fashion"/>
    <x v="3"/>
    <x v="39"/>
    <s v="Seed"/>
    <n v="887000"/>
    <d v="2024-08-26T00:00:00"/>
    <x v="3"/>
    <s v="August"/>
    <n v="8"/>
    <x v="0"/>
    <x v="0"/>
    <x v="1"/>
  </r>
  <r>
    <x v="139"/>
    <x v="9"/>
    <s v="Supply Chain"/>
    <x v="5"/>
    <x v="18"/>
    <s v="Seed"/>
    <n v="182000"/>
    <d v="2022-05-28T00:00:00"/>
    <x v="5"/>
    <s v="May"/>
    <n v="5"/>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E64D0-3A37-4673-B6BF-D92A995945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4" firstHeaderRow="0" firstDataRow="1" firstDataCol="0"/>
  <pivotFields count="14">
    <pivotField dataField="1" showAll="0"/>
    <pivotField showAll="0"/>
    <pivotField showAll="0"/>
    <pivotField showAll="0"/>
    <pivotField showAll="0"/>
    <pivotField showAll="0"/>
    <pivotField dataField="1" showAll="0"/>
    <pivotField numFmtId="14" showAll="0"/>
    <pivotField showAll="0">
      <items count="7">
        <item x="4"/>
        <item x="2"/>
        <item x="5"/>
        <item x="0"/>
        <item x="3"/>
        <item x="1"/>
        <item t="default"/>
      </items>
    </pivotField>
    <pivotField showAll="0"/>
    <pivotField showAll="0"/>
    <pivotField showAll="0">
      <items count="4">
        <item x="0"/>
        <item x="1"/>
        <item x="2"/>
        <item t="default"/>
      </items>
    </pivotField>
    <pivotField showAll="0"/>
    <pivotField showAll="0">
      <items count="6">
        <item x="1"/>
        <item x="4"/>
        <item x="0"/>
        <item x="2"/>
        <item x="3"/>
        <item t="default"/>
      </items>
    </pivotField>
  </pivotFields>
  <rowItems count="1">
    <i/>
  </rowItems>
  <colFields count="1">
    <field x="-2"/>
  </colFields>
  <colItems count="4">
    <i>
      <x/>
    </i>
    <i i="1">
      <x v="1"/>
    </i>
    <i i="2">
      <x v="2"/>
    </i>
    <i i="3">
      <x v="3"/>
    </i>
  </colItems>
  <dataFields count="4">
    <dataField name="Count of Startup" fld="0" subtotal="count" baseField="0" baseItem="0"/>
    <dataField name="Sum of InvestmentAmount_USD" fld="6" baseField="0" baseItem="0"/>
    <dataField name="Average of InvestmentAmount_USD2" fld="6" subtotal="average" baseField="0" baseItem="1"/>
    <dataField name="Max of InvestmentAmount_USD2" fld="6" subtotal="max" baseField="0" baseItem="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E91657-A7AF-4056-86B0-9367053BC0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showAll="0"/>
    <pivotField showAll="0"/>
    <pivotField showAll="0"/>
    <pivotField showAll="0"/>
    <pivotField showAll="0"/>
    <pivotField dataField="1" showAll="0"/>
    <pivotField numFmtId="14" showAll="0"/>
    <pivotField axis="axisRow" showAll="0">
      <items count="7">
        <item x="4"/>
        <item x="2"/>
        <item x="5"/>
        <item x="0"/>
        <item x="3"/>
        <item x="1"/>
        <item t="default"/>
      </items>
    </pivotField>
    <pivotField showAll="0"/>
    <pivotField showAll="0"/>
    <pivotField showAll="0">
      <items count="4">
        <item x="0"/>
        <item x="1"/>
        <item x="2"/>
        <item t="default"/>
      </items>
    </pivotField>
    <pivotField showAll="0"/>
    <pivotField showAll="0">
      <items count="6">
        <item x="1"/>
        <item x="4"/>
        <item x="0"/>
        <item x="2"/>
        <item x="3"/>
        <item t="default"/>
      </items>
    </pivotField>
  </pivotFields>
  <rowFields count="1">
    <field x="8"/>
  </rowFields>
  <rowItems count="7">
    <i>
      <x/>
    </i>
    <i>
      <x v="1"/>
    </i>
    <i>
      <x v="2"/>
    </i>
    <i>
      <x v="3"/>
    </i>
    <i>
      <x v="4"/>
    </i>
    <i>
      <x v="5"/>
    </i>
    <i t="grand">
      <x/>
    </i>
  </rowItems>
  <colItems count="1">
    <i/>
  </colItems>
  <dataFields count="1">
    <dataField name="Sum of InvestmentAmount_USD" fld="6"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97B8B9-A9D3-4B45-986A-E3622E0476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4">
    <pivotField dataField="1" showAll="0"/>
    <pivotField showAll="0"/>
    <pivotField showAll="0"/>
    <pivotField showAll="0"/>
    <pivotField showAll="0"/>
    <pivotField showAll="0"/>
    <pivotField showAll="0"/>
    <pivotField numFmtId="14" showAll="0"/>
    <pivotField showAll="0">
      <items count="7">
        <item x="4"/>
        <item x="2"/>
        <item x="5"/>
        <item x="0"/>
        <item x="3"/>
        <item x="1"/>
        <item t="default"/>
      </items>
    </pivotField>
    <pivotField showAll="0"/>
    <pivotField showAll="0"/>
    <pivotField showAll="0">
      <items count="4">
        <item x="0"/>
        <item x="1"/>
        <item x="2"/>
        <item t="default"/>
      </items>
    </pivotField>
    <pivotField showAll="0"/>
    <pivotField axis="axisRow" showAll="0">
      <items count="6">
        <item x="1"/>
        <item x="4"/>
        <item x="0"/>
        <item x="2"/>
        <item x="3"/>
        <item t="default"/>
      </items>
    </pivotField>
  </pivotFields>
  <rowFields count="1">
    <field x="13"/>
  </rowFields>
  <rowItems count="6">
    <i>
      <x/>
    </i>
    <i>
      <x v="1"/>
    </i>
    <i>
      <x v="2"/>
    </i>
    <i>
      <x v="3"/>
    </i>
    <i>
      <x v="4"/>
    </i>
    <i t="grand">
      <x/>
    </i>
  </rowItems>
  <colItems count="1">
    <i/>
  </colItems>
  <dataFields count="1">
    <dataField name="Count of Startup" fld="0" subtotal="count"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020C36-633A-4B18-BC00-96816A48D5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showAll="0"/>
    <pivotField showAll="0"/>
    <pivotField showAll="0"/>
    <pivotField showAll="0"/>
    <pivotField showAll="0"/>
    <pivotField dataField="1" showAll="0"/>
    <pivotField numFmtId="14" showAll="0"/>
    <pivotField showAll="0">
      <items count="7">
        <item x="4"/>
        <item x="2"/>
        <item x="5"/>
        <item x="0"/>
        <item x="3"/>
        <item x="1"/>
        <item t="default"/>
      </items>
    </pivotField>
    <pivotField showAll="0"/>
    <pivotField showAll="0"/>
    <pivotField axis="axisRow" showAll="0">
      <items count="4">
        <item x="0"/>
        <item x="1"/>
        <item x="2"/>
        <item t="default"/>
      </items>
    </pivotField>
    <pivotField showAll="0"/>
    <pivotField showAll="0">
      <items count="6">
        <item x="1"/>
        <item x="4"/>
        <item x="0"/>
        <item x="2"/>
        <item x="3"/>
        <item t="default"/>
      </items>
    </pivotField>
  </pivotFields>
  <rowFields count="1">
    <field x="11"/>
  </rowFields>
  <rowItems count="4">
    <i>
      <x/>
    </i>
    <i>
      <x v="1"/>
    </i>
    <i>
      <x v="2"/>
    </i>
    <i t="grand">
      <x/>
    </i>
  </rowItems>
  <colItems count="1">
    <i/>
  </colItems>
  <dataFields count="1">
    <dataField name="Sum of InvestmentAmount_USD" fld="6"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0DEB3-73D8-4301-80A8-4A080A1553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4">
    <pivotField dataField="1" showAll="0"/>
    <pivotField showAll="0"/>
    <pivotField showAll="0"/>
    <pivotField axis="axisRow" showAll="0">
      <items count="11">
        <item x="6"/>
        <item x="1"/>
        <item x="9"/>
        <item x="4"/>
        <item x="3"/>
        <item x="2"/>
        <item x="5"/>
        <item x="0"/>
        <item x="8"/>
        <item x="7"/>
        <item t="default"/>
      </items>
    </pivotField>
    <pivotField showAll="0"/>
    <pivotField showAll="0"/>
    <pivotField showAll="0"/>
    <pivotField numFmtId="14" showAll="0"/>
    <pivotField showAll="0">
      <items count="7">
        <item x="4"/>
        <item x="2"/>
        <item x="5"/>
        <item x="0"/>
        <item x="3"/>
        <item x="1"/>
        <item t="default"/>
      </items>
    </pivotField>
    <pivotField showAll="0"/>
    <pivotField showAll="0"/>
    <pivotField showAll="0">
      <items count="4">
        <item x="0"/>
        <item x="1"/>
        <item x="2"/>
        <item t="default"/>
      </items>
    </pivotField>
    <pivotField showAll="0"/>
    <pivotField showAll="0">
      <items count="6">
        <item x="1"/>
        <item x="4"/>
        <item x="0"/>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Startup"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CE6C51-92A3-4942-8B31-4924285CDD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dataField="1" showAll="0"/>
    <pivotField showAll="0"/>
    <pivotField showAll="0"/>
    <pivotField showAll="0"/>
    <pivotField showAll="0"/>
    <pivotField showAll="0"/>
    <pivotField showAll="0"/>
    <pivotField numFmtId="14" showAll="0"/>
    <pivotField showAll="0">
      <items count="7">
        <item x="4"/>
        <item x="2"/>
        <item x="5"/>
        <item x="0"/>
        <item x="3"/>
        <item x="1"/>
        <item t="default"/>
      </items>
    </pivotField>
    <pivotField showAll="0"/>
    <pivotField showAll="0"/>
    <pivotField showAll="0">
      <items count="4">
        <item x="0"/>
        <item x="1"/>
        <item x="2"/>
        <item t="default"/>
      </items>
    </pivotField>
    <pivotField axis="axisRow" showAll="0">
      <items count="5">
        <item x="2"/>
        <item x="3"/>
        <item x="1"/>
        <item x="0"/>
        <item t="default"/>
      </items>
    </pivotField>
    <pivotField showAll="0">
      <items count="6">
        <item x="1"/>
        <item x="4"/>
        <item x="0"/>
        <item x="2"/>
        <item x="3"/>
        <item t="default"/>
      </items>
    </pivotField>
  </pivotFields>
  <rowFields count="1">
    <field x="12"/>
  </rowFields>
  <rowItems count="5">
    <i>
      <x/>
    </i>
    <i>
      <x v="1"/>
    </i>
    <i>
      <x v="2"/>
    </i>
    <i>
      <x v="3"/>
    </i>
    <i t="grand">
      <x/>
    </i>
  </rowItems>
  <colItems count="1">
    <i/>
  </colItems>
  <dataFields count="1">
    <dataField name="Count of Startup"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80504-77C8-4430-9C1A-665D62BCD8B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4">
    <pivotField showAll="0"/>
    <pivotField axis="axisRow" showAll="0" measureFilter="1" sortType="ascending">
      <items count="15">
        <item x="12"/>
        <item x="3"/>
        <item x="13"/>
        <item x="0"/>
        <item x="11"/>
        <item x="7"/>
        <item x="6"/>
        <item x="10"/>
        <item x="9"/>
        <item x="1"/>
        <item x="2"/>
        <item x="4"/>
        <item x="5"/>
        <item x="8"/>
        <item t="default"/>
      </items>
      <autoSortScope>
        <pivotArea dataOnly="0" outline="0" fieldPosition="0">
          <references count="1">
            <reference field="4294967294" count="1" selected="0">
              <x v="0"/>
            </reference>
          </references>
        </pivotArea>
      </autoSortScope>
    </pivotField>
    <pivotField showAll="0"/>
    <pivotField showAll="0">
      <items count="11">
        <item x="6"/>
        <item x="1"/>
        <item x="9"/>
        <item x="4"/>
        <item x="3"/>
        <item x="2"/>
        <item x="5"/>
        <item x="0"/>
        <item x="8"/>
        <item x="7"/>
        <item t="default"/>
      </items>
    </pivotField>
    <pivotField showAll="0"/>
    <pivotField showAll="0"/>
    <pivotField dataField="1" showAll="0"/>
    <pivotField numFmtId="14" showAll="0"/>
    <pivotField showAll="0">
      <items count="7">
        <item x="4"/>
        <item x="2"/>
        <item x="5"/>
        <item x="0"/>
        <item x="3"/>
        <item x="1"/>
        <item t="default"/>
      </items>
    </pivotField>
    <pivotField showAll="0"/>
    <pivotField showAll="0"/>
    <pivotField showAll="0">
      <items count="4">
        <item x="0"/>
        <item x="1"/>
        <item x="2"/>
        <item t="default"/>
      </items>
    </pivotField>
    <pivotField showAll="0"/>
    <pivotField showAll="0">
      <items count="6">
        <item x="1"/>
        <item x="4"/>
        <item x="0"/>
        <item x="2"/>
        <item x="3"/>
        <item t="default"/>
      </items>
    </pivotField>
  </pivotFields>
  <rowFields count="1">
    <field x="1"/>
  </rowFields>
  <rowItems count="6">
    <i>
      <x v="9"/>
    </i>
    <i>
      <x v="10"/>
    </i>
    <i>
      <x v="12"/>
    </i>
    <i>
      <x v="1"/>
    </i>
    <i>
      <x v="6"/>
    </i>
    <i t="grand">
      <x/>
    </i>
  </rowItems>
  <colItems count="1">
    <i/>
  </colItems>
  <dataFields count="1">
    <dataField name="Sum of InvestmentAmount_USD" fld="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702A6A-26C6-4A5C-93EB-4584018C2D63}" autoFormatId="16" applyNumberFormats="0" applyBorderFormats="0" applyFontFormats="0" applyPatternFormats="0" applyAlignmentFormats="0" applyWidthHeightFormats="0">
  <queryTableRefresh nextId="15">
    <queryTableFields count="14">
      <queryTableField id="1" name="Startup" tableColumnId="1"/>
      <queryTableField id="2" name="Industry" tableColumnId="2"/>
      <queryTableField id="3" name="SubVertical" tableColumnId="3"/>
      <queryTableField id="4" name="City" tableColumnId="4"/>
      <queryTableField id="5" name="Investors" tableColumnId="5"/>
      <queryTableField id="6" name="Investment Type" tableColumnId="6"/>
      <queryTableField id="7" name="InvestmentAmount_USD" tableColumnId="7"/>
      <queryTableField id="8" name="Date" tableColumnId="8"/>
      <queryTableField id="9" name="Year" tableColumnId="9"/>
      <queryTableField id="10" name="Month Name" tableColumnId="10"/>
      <queryTableField id="11" name="Month" tableColumnId="11"/>
      <queryTableField id="12" name="Stage Group" tableColumnId="12"/>
      <queryTableField id="13" name="Amount Bucket" tableColumnId="13"/>
      <queryTableField id="14" name="Industry Group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Group" xr10:uid="{D31F5886-6E7B-4ED6-B1BE-E34FF67A0FE6}" sourceName="Stage Group">
  <pivotTables>
    <pivotTable tabId="6" name="PivotTable1"/>
    <pivotTable tabId="9" name="PivotTable4"/>
    <pivotTable tabId="7" name="PivotTable2"/>
    <pivotTable tabId="10" name="PivotTable5"/>
    <pivotTable tabId="3" name="PivotTable1"/>
    <pivotTable tabId="11" name="PivotTable6"/>
  </pivotTables>
  <data>
    <tabular pivotCacheId="118610341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50CB5F-00ED-411D-B2AE-E06037F4F998}" sourceName="Year">
  <pivotTables>
    <pivotTable tabId="8" name="PivotTable3"/>
    <pivotTable tabId="9" name="PivotTable4"/>
    <pivotTable tabId="7" name="PivotTable2"/>
    <pivotTable tabId="10" name="PivotTable5"/>
    <pivotTable tabId="3" name="PivotTable1"/>
    <pivotTable tabId="11" name="PivotTable6"/>
  </pivotTables>
  <data>
    <tabular pivotCacheId="1186103410">
      <items count="6">
        <i x="4" s="1"/>
        <i x="2"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Groups" xr10:uid="{2E87A02D-512C-46E6-8468-9ADE24862572}" sourceName="Industry Groups">
  <pivotTables>
    <pivotTable tabId="10" name="PivotTable5"/>
    <pivotTable tabId="9" name="PivotTable4"/>
    <pivotTable tabId="8" name="PivotTable3"/>
    <pivotTable tabId="6" name="PivotTable1"/>
    <pivotTable tabId="3" name="PivotTable1"/>
    <pivotTable tabId="11" name="PivotTable6"/>
  </pivotTables>
  <data>
    <tabular pivotCacheId="1186103410">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Group" xr10:uid="{297E34FC-CA43-4C38-B0D7-954E52A7AA7B}" cache="Slicer_Stage_Group" caption="Stage Group" showCaption="0" style="Slicer Style 5" rowHeight="234950"/>
  <slicer name="Year" xr10:uid="{49632DB2-6101-4BA3-878A-98E76CC48A1B}" cache="Slicer_Year" caption="Year" columnCount="3" showCaption="0" style="Slicer Style 5" rowHeight="234950"/>
  <slicer name="Industry Groups" xr10:uid="{223B03D0-95AF-43C5-9FF1-E71249BDA55D}" cache="Slicer_Industry_Groups" caption="Industry Groups" columnCount="3" showCaption="0" style="Slicer Style 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36A49-04C3-4652-AA22-7FBE6B36BA1E}" name="indian_startup_funding_2020_2025_sample" displayName="indian_startup_funding_2020_2025_sample" ref="A1:N1101" tableType="queryTable" totalsRowShown="0">
  <autoFilter ref="A1:N1101" xr:uid="{03F36A49-04C3-4652-AA22-7FBE6B36BA1E}"/>
  <tableColumns count="14">
    <tableColumn id="1" xr3:uid="{5620C2B1-ADC6-4AA0-8BCD-7B20C4686D43}" uniqueName="1" name="Startup" queryTableFieldId="1" dataDxfId="10"/>
    <tableColumn id="2" xr3:uid="{3E6CF46D-2E58-4DBB-9022-A6FBD2195B42}" uniqueName="2" name="Industry" queryTableFieldId="2" dataDxfId="9"/>
    <tableColumn id="3" xr3:uid="{165472CE-C7A4-4BBD-AF39-0CCA5FE58B50}" uniqueName="3" name="SubVertical" queryTableFieldId="3" dataDxfId="8"/>
    <tableColumn id="4" xr3:uid="{E614B057-B0DC-4AE0-A799-2E48D2DF1D98}" uniqueName="4" name="City" queryTableFieldId="4" dataDxfId="7"/>
    <tableColumn id="5" xr3:uid="{041B03E0-2630-4B72-A86E-15455E35709D}" uniqueName="5" name="Investors" queryTableFieldId="5" dataDxfId="6"/>
    <tableColumn id="6" xr3:uid="{41CEC186-442D-49E9-8614-CFF5298956C0}" uniqueName="6" name="Investment Type" queryTableFieldId="6" dataDxfId="5"/>
    <tableColumn id="7" xr3:uid="{E70268D0-DFC1-41B3-AC7F-BAEF65A82FE6}" uniqueName="7" name="InvestmentAmount_USD" queryTableFieldId="7"/>
    <tableColumn id="8" xr3:uid="{4C18B6CF-57DD-4503-9C2E-7151C2BD4185}" uniqueName="8" name="Date" queryTableFieldId="8" dataDxfId="4"/>
    <tableColumn id="9" xr3:uid="{973551FB-5759-4920-B1BF-AA3EC8DA980E}" uniqueName="9" name="Year" queryTableFieldId="9"/>
    <tableColumn id="10" xr3:uid="{E3FAFE22-0C8B-47D4-8133-D6E9530AE52B}" uniqueName="10" name="Month Name" queryTableFieldId="10" dataDxfId="3"/>
    <tableColumn id="11" xr3:uid="{FAD24A0A-1DB8-4DC0-B5B2-9A3783CBB763}" uniqueName="11" name="Month" queryTableFieldId="11"/>
    <tableColumn id="12" xr3:uid="{5D6C86DA-C251-4DEF-9451-6FF2CC102431}" uniqueName="12" name="Stage Group" queryTableFieldId="12" dataDxfId="2"/>
    <tableColumn id="13" xr3:uid="{E43109EF-FEE4-4A14-9311-C287B71A52E1}" uniqueName="13" name="Amount Bucket" queryTableFieldId="13" dataDxfId="1"/>
    <tableColumn id="14" xr3:uid="{5F8BAFA5-40F8-4F73-9325-0D2031DBE6D1}" uniqueName="14" name="Industry Group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9BE2-C9C6-4BC0-8C73-56055394A8E0}">
  <dimension ref="A1"/>
  <sheetViews>
    <sheetView tabSelected="1" topLeftCell="A32" zoomScale="91" workbookViewId="0">
      <selection activeCell="V48" sqref="V4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DD1E-F032-4C1B-96A1-C2CE5AB343E9}">
  <dimension ref="A3:D6"/>
  <sheetViews>
    <sheetView workbookViewId="0">
      <selection activeCell="A3" sqref="A3"/>
    </sheetView>
  </sheetViews>
  <sheetFormatPr defaultRowHeight="14.4" x14ac:dyDescent="0.3"/>
  <cols>
    <col min="1" max="1" width="15.109375" bestFit="1" customWidth="1"/>
    <col min="2" max="2" width="28.88671875" bestFit="1" customWidth="1"/>
    <col min="3" max="3" width="33.109375" bestFit="1" customWidth="1"/>
    <col min="4" max="4" width="29.88671875" bestFit="1" customWidth="1"/>
  </cols>
  <sheetData>
    <row r="3" spans="1:4" x14ac:dyDescent="0.3">
      <c r="A3" t="s">
        <v>721</v>
      </c>
      <c r="B3" t="s">
        <v>722</v>
      </c>
      <c r="C3" t="s">
        <v>723</v>
      </c>
      <c r="D3" t="s">
        <v>724</v>
      </c>
    </row>
    <row r="4" spans="1:4" x14ac:dyDescent="0.3">
      <c r="A4">
        <v>1100</v>
      </c>
      <c r="B4">
        <v>28086243000</v>
      </c>
      <c r="C4">
        <v>25532948.181818184</v>
      </c>
      <c r="D4">
        <v>574676000</v>
      </c>
    </row>
    <row r="6" spans="1:4" x14ac:dyDescent="0.3">
      <c r="A6">
        <f>A4</f>
        <v>1100</v>
      </c>
      <c r="B6" t="str">
        <f>"$"&amp;TEXT(SUM(B4)/1000000000,"0.0")&amp;"B"</f>
        <v>$28.1B</v>
      </c>
      <c r="C6" t="str">
        <f>"$"&amp;TEXT(AVERAGE(C4)/1000000,"0.0")&amp;"M"</f>
        <v>$25.5M</v>
      </c>
      <c r="D6" t="str">
        <f>"$"&amp;TEXT(MAX(D4)/1000000,"0.0")&amp;"M"</f>
        <v>$574.7M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1623-8115-41B1-A11D-E6269AEC6B37}">
  <dimension ref="A1:N1101"/>
  <sheetViews>
    <sheetView topLeftCell="A19" workbookViewId="0">
      <selection activeCell="G22" sqref="G22"/>
    </sheetView>
  </sheetViews>
  <sheetFormatPr defaultRowHeight="14.4" x14ac:dyDescent="0.3"/>
  <cols>
    <col min="1" max="1" width="20.21875" bestFit="1" customWidth="1"/>
    <col min="2" max="2" width="18.77734375" bestFit="1" customWidth="1"/>
    <col min="3" max="3" width="16.33203125" bestFit="1" customWidth="1"/>
    <col min="4" max="4" width="10.6640625" bestFit="1" customWidth="1"/>
    <col min="5" max="5" width="61.109375" bestFit="1" customWidth="1"/>
    <col min="6" max="6" width="17.44140625" bestFit="1" customWidth="1"/>
    <col min="7" max="7" width="24.5546875" bestFit="1" customWidth="1"/>
    <col min="8" max="8" width="10.33203125" bestFit="1" customWidth="1"/>
    <col min="9" max="9" width="6.88671875" bestFit="1" customWidth="1"/>
    <col min="10" max="10" width="14.44140625" bestFit="1" customWidth="1"/>
    <col min="11" max="11" width="9" bestFit="1" customWidth="1"/>
    <col min="12" max="12" width="13.5546875" bestFit="1" customWidth="1"/>
    <col min="13" max="13" width="18.5546875" bestFit="1" customWidth="1"/>
    <col min="14" max="14" width="16.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v>199000</v>
      </c>
      <c r="H2" s="1">
        <v>45035</v>
      </c>
      <c r="I2">
        <v>2023</v>
      </c>
      <c r="J2" t="s">
        <v>20</v>
      </c>
      <c r="K2">
        <v>4</v>
      </c>
      <c r="L2" t="s">
        <v>21</v>
      </c>
      <c r="M2" t="s">
        <v>22</v>
      </c>
      <c r="N2" t="s">
        <v>23</v>
      </c>
    </row>
    <row r="3" spans="1:14" x14ac:dyDescent="0.3">
      <c r="A3" t="s">
        <v>24</v>
      </c>
      <c r="B3" t="s">
        <v>25</v>
      </c>
      <c r="C3" t="s">
        <v>26</v>
      </c>
      <c r="D3" t="s">
        <v>27</v>
      </c>
      <c r="E3" t="s">
        <v>28</v>
      </c>
      <c r="F3" t="s">
        <v>19</v>
      </c>
      <c r="G3">
        <v>1668000</v>
      </c>
      <c r="H3" s="1">
        <v>45685</v>
      </c>
      <c r="I3">
        <v>2025</v>
      </c>
      <c r="J3" t="s">
        <v>29</v>
      </c>
      <c r="K3">
        <v>1</v>
      </c>
      <c r="L3" t="s">
        <v>21</v>
      </c>
      <c r="M3" t="s">
        <v>30</v>
      </c>
      <c r="N3" t="s">
        <v>31</v>
      </c>
    </row>
    <row r="4" spans="1:14" x14ac:dyDescent="0.3">
      <c r="A4" t="s">
        <v>24</v>
      </c>
      <c r="B4" t="s">
        <v>32</v>
      </c>
      <c r="C4" t="s">
        <v>33</v>
      </c>
      <c r="D4" t="s">
        <v>34</v>
      </c>
      <c r="E4" t="s">
        <v>35</v>
      </c>
      <c r="F4" t="s">
        <v>36</v>
      </c>
      <c r="G4">
        <v>38052000</v>
      </c>
      <c r="H4" s="1">
        <v>44269</v>
      </c>
      <c r="I4">
        <v>2021</v>
      </c>
      <c r="J4" t="s">
        <v>37</v>
      </c>
      <c r="K4">
        <v>3</v>
      </c>
      <c r="L4" t="s">
        <v>38</v>
      </c>
      <c r="M4" t="s">
        <v>39</v>
      </c>
      <c r="N4" t="s">
        <v>40</v>
      </c>
    </row>
    <row r="5" spans="1:14" x14ac:dyDescent="0.3">
      <c r="A5" t="s">
        <v>41</v>
      </c>
      <c r="B5" t="s">
        <v>42</v>
      </c>
      <c r="C5" t="s">
        <v>43</v>
      </c>
      <c r="D5" t="s">
        <v>44</v>
      </c>
      <c r="E5" t="s">
        <v>45</v>
      </c>
      <c r="F5" t="s">
        <v>19</v>
      </c>
      <c r="G5">
        <v>455000</v>
      </c>
      <c r="H5" s="1">
        <v>45180</v>
      </c>
      <c r="I5">
        <v>2023</v>
      </c>
      <c r="J5" t="s">
        <v>46</v>
      </c>
      <c r="K5">
        <v>9</v>
      </c>
      <c r="L5" t="s">
        <v>21</v>
      </c>
      <c r="M5" t="s">
        <v>22</v>
      </c>
      <c r="N5" t="s">
        <v>47</v>
      </c>
    </row>
    <row r="6" spans="1:14" x14ac:dyDescent="0.3">
      <c r="A6" t="s">
        <v>48</v>
      </c>
      <c r="B6" t="s">
        <v>49</v>
      </c>
      <c r="C6" t="s">
        <v>50</v>
      </c>
      <c r="D6" t="s">
        <v>17</v>
      </c>
      <c r="E6" t="s">
        <v>51</v>
      </c>
      <c r="F6" t="s">
        <v>19</v>
      </c>
      <c r="G6">
        <v>89000</v>
      </c>
      <c r="H6" s="1">
        <v>45322</v>
      </c>
      <c r="I6">
        <v>2024</v>
      </c>
      <c r="J6" t="s">
        <v>29</v>
      </c>
      <c r="K6">
        <v>1</v>
      </c>
      <c r="L6" t="s">
        <v>21</v>
      </c>
      <c r="M6" t="s">
        <v>22</v>
      </c>
      <c r="N6" t="s">
        <v>40</v>
      </c>
    </row>
    <row r="7" spans="1:14" x14ac:dyDescent="0.3">
      <c r="A7" t="s">
        <v>52</v>
      </c>
      <c r="B7" t="s">
        <v>15</v>
      </c>
      <c r="C7" t="s">
        <v>53</v>
      </c>
      <c r="D7" t="s">
        <v>54</v>
      </c>
      <c r="E7" t="s">
        <v>55</v>
      </c>
      <c r="F7" t="s">
        <v>56</v>
      </c>
      <c r="G7">
        <v>143000</v>
      </c>
      <c r="H7" s="1">
        <v>44401</v>
      </c>
      <c r="I7">
        <v>2021</v>
      </c>
      <c r="J7" t="s">
        <v>57</v>
      </c>
      <c r="K7">
        <v>7</v>
      </c>
      <c r="L7" t="s">
        <v>38</v>
      </c>
      <c r="M7" t="s">
        <v>22</v>
      </c>
      <c r="N7" t="s">
        <v>23</v>
      </c>
    </row>
    <row r="8" spans="1:14" x14ac:dyDescent="0.3">
      <c r="A8" t="s">
        <v>58</v>
      </c>
      <c r="B8" t="s">
        <v>59</v>
      </c>
      <c r="C8" t="s">
        <v>60</v>
      </c>
      <c r="D8" t="s">
        <v>17</v>
      </c>
      <c r="E8" t="s">
        <v>61</v>
      </c>
      <c r="F8" t="s">
        <v>19</v>
      </c>
      <c r="G8">
        <v>62000</v>
      </c>
      <c r="H8" s="1">
        <v>44938</v>
      </c>
      <c r="I8">
        <v>2023</v>
      </c>
      <c r="J8" t="s">
        <v>29</v>
      </c>
      <c r="K8">
        <v>1</v>
      </c>
      <c r="L8" t="s">
        <v>21</v>
      </c>
      <c r="M8" t="s">
        <v>22</v>
      </c>
      <c r="N8" t="s">
        <v>31</v>
      </c>
    </row>
    <row r="9" spans="1:14" x14ac:dyDescent="0.3">
      <c r="A9" t="s">
        <v>62</v>
      </c>
      <c r="B9" t="s">
        <v>42</v>
      </c>
      <c r="C9" t="s">
        <v>43</v>
      </c>
      <c r="D9" t="s">
        <v>44</v>
      </c>
      <c r="E9" t="s">
        <v>63</v>
      </c>
      <c r="F9" t="s">
        <v>64</v>
      </c>
      <c r="G9">
        <v>491721000</v>
      </c>
      <c r="H9" s="1">
        <v>45679</v>
      </c>
      <c r="I9">
        <v>2025</v>
      </c>
      <c r="J9" t="s">
        <v>29</v>
      </c>
      <c r="K9">
        <v>1</v>
      </c>
      <c r="L9" t="s">
        <v>65</v>
      </c>
      <c r="M9" t="s">
        <v>66</v>
      </c>
      <c r="N9" t="s">
        <v>47</v>
      </c>
    </row>
    <row r="10" spans="1:14" x14ac:dyDescent="0.3">
      <c r="A10" t="s">
        <v>67</v>
      </c>
      <c r="B10" t="s">
        <v>68</v>
      </c>
      <c r="C10" t="s">
        <v>69</v>
      </c>
      <c r="D10" t="s">
        <v>70</v>
      </c>
      <c r="E10" t="s">
        <v>71</v>
      </c>
      <c r="F10" t="s">
        <v>19</v>
      </c>
      <c r="G10">
        <v>459000</v>
      </c>
      <c r="H10" s="1">
        <v>45257</v>
      </c>
      <c r="I10">
        <v>2023</v>
      </c>
      <c r="J10" t="s">
        <v>72</v>
      </c>
      <c r="K10">
        <v>11</v>
      </c>
      <c r="L10" t="s">
        <v>21</v>
      </c>
      <c r="M10" t="s">
        <v>22</v>
      </c>
      <c r="N10" t="s">
        <v>31</v>
      </c>
    </row>
    <row r="11" spans="1:14" x14ac:dyDescent="0.3">
      <c r="A11" t="s">
        <v>73</v>
      </c>
      <c r="B11" t="s">
        <v>15</v>
      </c>
      <c r="C11" t="s">
        <v>74</v>
      </c>
      <c r="D11" t="s">
        <v>75</v>
      </c>
      <c r="E11" t="s">
        <v>76</v>
      </c>
      <c r="F11" t="s">
        <v>36</v>
      </c>
      <c r="G11">
        <v>35610000</v>
      </c>
      <c r="H11" s="1">
        <v>43955</v>
      </c>
      <c r="I11">
        <v>2020</v>
      </c>
      <c r="J11" t="s">
        <v>77</v>
      </c>
      <c r="K11">
        <v>5</v>
      </c>
      <c r="L11" t="s">
        <v>38</v>
      </c>
      <c r="M11" t="s">
        <v>39</v>
      </c>
      <c r="N11" t="s">
        <v>23</v>
      </c>
    </row>
    <row r="12" spans="1:14" x14ac:dyDescent="0.3">
      <c r="A12" t="s">
        <v>78</v>
      </c>
      <c r="B12" t="s">
        <v>32</v>
      </c>
      <c r="C12" t="s">
        <v>33</v>
      </c>
      <c r="D12" t="s">
        <v>54</v>
      </c>
      <c r="E12" t="s">
        <v>79</v>
      </c>
      <c r="F12" t="s">
        <v>19</v>
      </c>
      <c r="G12">
        <v>54000</v>
      </c>
      <c r="H12" s="1">
        <v>43970</v>
      </c>
      <c r="I12">
        <v>2020</v>
      </c>
      <c r="J12" t="s">
        <v>77</v>
      </c>
      <c r="K12">
        <v>5</v>
      </c>
      <c r="L12" t="s">
        <v>21</v>
      </c>
      <c r="M12" t="s">
        <v>22</v>
      </c>
      <c r="N12" t="s">
        <v>40</v>
      </c>
    </row>
    <row r="13" spans="1:14" x14ac:dyDescent="0.3">
      <c r="A13" t="s">
        <v>80</v>
      </c>
      <c r="B13" t="s">
        <v>81</v>
      </c>
      <c r="C13" t="s">
        <v>82</v>
      </c>
      <c r="D13" t="s">
        <v>17</v>
      </c>
      <c r="E13" t="s">
        <v>83</v>
      </c>
      <c r="F13" t="s">
        <v>56</v>
      </c>
      <c r="G13">
        <v>933000</v>
      </c>
      <c r="H13" s="1">
        <v>45026</v>
      </c>
      <c r="I13">
        <v>2023</v>
      </c>
      <c r="J13" t="s">
        <v>20</v>
      </c>
      <c r="K13">
        <v>4</v>
      </c>
      <c r="L13" t="s">
        <v>38</v>
      </c>
      <c r="M13" t="s">
        <v>22</v>
      </c>
      <c r="N13" t="s">
        <v>84</v>
      </c>
    </row>
    <row r="14" spans="1:14" x14ac:dyDescent="0.3">
      <c r="A14" t="s">
        <v>85</v>
      </c>
      <c r="B14" t="s">
        <v>86</v>
      </c>
      <c r="C14" t="s">
        <v>87</v>
      </c>
      <c r="D14" t="s">
        <v>34</v>
      </c>
      <c r="E14" t="s">
        <v>88</v>
      </c>
      <c r="F14" t="s">
        <v>56</v>
      </c>
      <c r="G14">
        <v>680000</v>
      </c>
      <c r="H14" s="1">
        <v>45206</v>
      </c>
      <c r="I14">
        <v>2023</v>
      </c>
      <c r="J14" t="s">
        <v>89</v>
      </c>
      <c r="K14">
        <v>10</v>
      </c>
      <c r="L14" t="s">
        <v>38</v>
      </c>
      <c r="M14" t="s">
        <v>22</v>
      </c>
      <c r="N14" t="s">
        <v>47</v>
      </c>
    </row>
    <row r="15" spans="1:14" x14ac:dyDescent="0.3">
      <c r="A15" t="s">
        <v>24</v>
      </c>
      <c r="B15" t="s">
        <v>81</v>
      </c>
      <c r="C15" t="s">
        <v>90</v>
      </c>
      <c r="D15" t="s">
        <v>75</v>
      </c>
      <c r="E15" t="s">
        <v>91</v>
      </c>
      <c r="F15" t="s">
        <v>92</v>
      </c>
      <c r="G15">
        <v>374000</v>
      </c>
      <c r="H15" s="1">
        <v>44035</v>
      </c>
      <c r="I15">
        <v>2020</v>
      </c>
      <c r="J15" t="s">
        <v>57</v>
      </c>
      <c r="K15">
        <v>7</v>
      </c>
      <c r="L15" t="s">
        <v>65</v>
      </c>
      <c r="M15" t="s">
        <v>22</v>
      </c>
      <c r="N15" t="s">
        <v>84</v>
      </c>
    </row>
    <row r="16" spans="1:14" x14ac:dyDescent="0.3">
      <c r="A16" t="s">
        <v>93</v>
      </c>
      <c r="B16" t="s">
        <v>94</v>
      </c>
      <c r="C16" t="s">
        <v>95</v>
      </c>
      <c r="D16" t="s">
        <v>96</v>
      </c>
      <c r="E16" t="s">
        <v>97</v>
      </c>
      <c r="F16" t="s">
        <v>98</v>
      </c>
      <c r="G16">
        <v>151993000</v>
      </c>
      <c r="H16" s="1">
        <v>45631</v>
      </c>
      <c r="I16">
        <v>2024</v>
      </c>
      <c r="J16" t="s">
        <v>99</v>
      </c>
      <c r="K16">
        <v>12</v>
      </c>
      <c r="L16" t="s">
        <v>65</v>
      </c>
      <c r="M16" t="s">
        <v>66</v>
      </c>
      <c r="N16" t="s">
        <v>40</v>
      </c>
    </row>
    <row r="17" spans="1:14" x14ac:dyDescent="0.3">
      <c r="A17" t="s">
        <v>100</v>
      </c>
      <c r="B17" t="s">
        <v>32</v>
      </c>
      <c r="C17" t="s">
        <v>101</v>
      </c>
      <c r="D17" t="s">
        <v>34</v>
      </c>
      <c r="E17" t="s">
        <v>102</v>
      </c>
      <c r="F17" t="s">
        <v>103</v>
      </c>
      <c r="G17">
        <v>1643000</v>
      </c>
      <c r="H17" s="1">
        <v>45483</v>
      </c>
      <c r="I17">
        <v>2024</v>
      </c>
      <c r="J17" t="s">
        <v>57</v>
      </c>
      <c r="K17">
        <v>7</v>
      </c>
      <c r="L17" t="s">
        <v>38</v>
      </c>
      <c r="M17" t="s">
        <v>30</v>
      </c>
      <c r="N17" t="s">
        <v>40</v>
      </c>
    </row>
    <row r="18" spans="1:14" x14ac:dyDescent="0.3">
      <c r="A18" t="s">
        <v>104</v>
      </c>
      <c r="B18" t="s">
        <v>105</v>
      </c>
      <c r="C18" t="s">
        <v>106</v>
      </c>
      <c r="D18" t="s">
        <v>17</v>
      </c>
      <c r="E18" t="s">
        <v>107</v>
      </c>
      <c r="F18" t="s">
        <v>98</v>
      </c>
      <c r="G18">
        <v>201485000</v>
      </c>
      <c r="H18" s="1">
        <v>45351</v>
      </c>
      <c r="I18">
        <v>2024</v>
      </c>
      <c r="J18" t="s">
        <v>108</v>
      </c>
      <c r="K18">
        <v>2</v>
      </c>
      <c r="L18" t="s">
        <v>65</v>
      </c>
      <c r="M18" t="s">
        <v>66</v>
      </c>
      <c r="N18" t="s">
        <v>23</v>
      </c>
    </row>
    <row r="19" spans="1:14" x14ac:dyDescent="0.3">
      <c r="A19" t="s">
        <v>109</v>
      </c>
      <c r="B19" t="s">
        <v>15</v>
      </c>
      <c r="C19" t="s">
        <v>110</v>
      </c>
      <c r="D19" t="s">
        <v>111</v>
      </c>
      <c r="E19" t="s">
        <v>112</v>
      </c>
      <c r="F19" t="s">
        <v>103</v>
      </c>
      <c r="G19">
        <v>4142000</v>
      </c>
      <c r="H19" s="1">
        <v>45685</v>
      </c>
      <c r="I19">
        <v>2025</v>
      </c>
      <c r="J19" t="s">
        <v>29</v>
      </c>
      <c r="K19">
        <v>1</v>
      </c>
      <c r="L19" t="s">
        <v>38</v>
      </c>
      <c r="M19" t="s">
        <v>30</v>
      </c>
      <c r="N19" t="s">
        <v>23</v>
      </c>
    </row>
    <row r="20" spans="1:14" x14ac:dyDescent="0.3">
      <c r="A20" t="s">
        <v>113</v>
      </c>
      <c r="B20" t="s">
        <v>114</v>
      </c>
      <c r="C20" t="s">
        <v>115</v>
      </c>
      <c r="D20" t="s">
        <v>27</v>
      </c>
      <c r="E20" t="s">
        <v>116</v>
      </c>
      <c r="F20" t="s">
        <v>117</v>
      </c>
      <c r="G20">
        <v>54000</v>
      </c>
      <c r="H20" s="1">
        <v>45410</v>
      </c>
      <c r="I20">
        <v>2024</v>
      </c>
      <c r="J20" t="s">
        <v>20</v>
      </c>
      <c r="K20">
        <v>4</v>
      </c>
      <c r="L20" t="s">
        <v>21</v>
      </c>
      <c r="M20" t="s">
        <v>22</v>
      </c>
      <c r="N20" t="s">
        <v>47</v>
      </c>
    </row>
    <row r="21" spans="1:14" x14ac:dyDescent="0.3">
      <c r="A21" t="s">
        <v>118</v>
      </c>
      <c r="B21" t="s">
        <v>105</v>
      </c>
      <c r="C21" t="s">
        <v>119</v>
      </c>
      <c r="D21" t="s">
        <v>111</v>
      </c>
      <c r="E21" t="s">
        <v>112</v>
      </c>
      <c r="F21" t="s">
        <v>36</v>
      </c>
      <c r="G21">
        <v>11211000</v>
      </c>
      <c r="H21" s="1">
        <v>44979</v>
      </c>
      <c r="I21">
        <v>2023</v>
      </c>
      <c r="J21" t="s">
        <v>108</v>
      </c>
      <c r="K21">
        <v>2</v>
      </c>
      <c r="L21" t="s">
        <v>38</v>
      </c>
      <c r="M21" t="s">
        <v>39</v>
      </c>
      <c r="N21" t="s">
        <v>23</v>
      </c>
    </row>
    <row r="22" spans="1:14" x14ac:dyDescent="0.3">
      <c r="A22" t="s">
        <v>120</v>
      </c>
      <c r="B22" t="s">
        <v>114</v>
      </c>
      <c r="C22" t="s">
        <v>115</v>
      </c>
      <c r="D22" t="s">
        <v>75</v>
      </c>
      <c r="E22" t="s">
        <v>121</v>
      </c>
      <c r="F22" t="s">
        <v>103</v>
      </c>
      <c r="G22">
        <v>5243000</v>
      </c>
      <c r="H22" s="1">
        <v>44711</v>
      </c>
      <c r="I22">
        <v>2022</v>
      </c>
      <c r="J22" t="s">
        <v>77</v>
      </c>
      <c r="K22">
        <v>5</v>
      </c>
      <c r="L22" t="s">
        <v>38</v>
      </c>
      <c r="M22" t="s">
        <v>30</v>
      </c>
      <c r="N22" t="s">
        <v>47</v>
      </c>
    </row>
    <row r="23" spans="1:14" x14ac:dyDescent="0.3">
      <c r="A23" t="s">
        <v>122</v>
      </c>
      <c r="B23" t="s">
        <v>59</v>
      </c>
      <c r="C23" t="s">
        <v>123</v>
      </c>
      <c r="D23" t="s">
        <v>96</v>
      </c>
      <c r="E23" t="s">
        <v>124</v>
      </c>
      <c r="F23" t="s">
        <v>19</v>
      </c>
      <c r="G23">
        <v>84000</v>
      </c>
      <c r="H23" s="1">
        <v>44342</v>
      </c>
      <c r="I23">
        <v>2021</v>
      </c>
      <c r="J23" t="s">
        <v>77</v>
      </c>
      <c r="K23">
        <v>5</v>
      </c>
      <c r="L23" t="s">
        <v>21</v>
      </c>
      <c r="M23" t="s">
        <v>22</v>
      </c>
      <c r="N23" t="s">
        <v>31</v>
      </c>
    </row>
    <row r="24" spans="1:14" x14ac:dyDescent="0.3">
      <c r="A24" t="s">
        <v>125</v>
      </c>
      <c r="B24" t="s">
        <v>126</v>
      </c>
      <c r="C24" t="s">
        <v>127</v>
      </c>
      <c r="D24" t="s">
        <v>54</v>
      </c>
      <c r="E24" t="s">
        <v>61</v>
      </c>
      <c r="F24" t="s">
        <v>128</v>
      </c>
      <c r="G24">
        <v>12000</v>
      </c>
      <c r="H24" s="1">
        <v>44315</v>
      </c>
      <c r="I24">
        <v>2021</v>
      </c>
      <c r="J24" t="s">
        <v>20</v>
      </c>
      <c r="K24">
        <v>4</v>
      </c>
      <c r="L24" t="s">
        <v>21</v>
      </c>
      <c r="M24" t="s">
        <v>22</v>
      </c>
      <c r="N24" t="s">
        <v>40</v>
      </c>
    </row>
    <row r="25" spans="1:14" x14ac:dyDescent="0.3">
      <c r="A25" t="s">
        <v>129</v>
      </c>
      <c r="B25" t="s">
        <v>81</v>
      </c>
      <c r="C25" t="s">
        <v>130</v>
      </c>
      <c r="D25" t="s">
        <v>96</v>
      </c>
      <c r="E25" t="s">
        <v>131</v>
      </c>
      <c r="F25" t="s">
        <v>132</v>
      </c>
      <c r="G25">
        <v>53939000</v>
      </c>
      <c r="H25" s="1">
        <v>44674</v>
      </c>
      <c r="I25">
        <v>2022</v>
      </c>
      <c r="J25" t="s">
        <v>20</v>
      </c>
      <c r="K25">
        <v>4</v>
      </c>
      <c r="L25" t="s">
        <v>65</v>
      </c>
      <c r="M25" t="s">
        <v>39</v>
      </c>
      <c r="N25" t="s">
        <v>84</v>
      </c>
    </row>
    <row r="26" spans="1:14" x14ac:dyDescent="0.3">
      <c r="A26" t="s">
        <v>52</v>
      </c>
      <c r="B26" t="s">
        <v>81</v>
      </c>
      <c r="C26" t="s">
        <v>90</v>
      </c>
      <c r="D26" t="s">
        <v>44</v>
      </c>
      <c r="E26" t="s">
        <v>133</v>
      </c>
      <c r="F26" t="s">
        <v>19</v>
      </c>
      <c r="G26">
        <v>269000</v>
      </c>
      <c r="H26" s="1">
        <v>45711</v>
      </c>
      <c r="I26">
        <v>2025</v>
      </c>
      <c r="J26" t="s">
        <v>108</v>
      </c>
      <c r="K26">
        <v>2</v>
      </c>
      <c r="L26" t="s">
        <v>21</v>
      </c>
      <c r="M26" t="s">
        <v>22</v>
      </c>
      <c r="N26" t="s">
        <v>84</v>
      </c>
    </row>
    <row r="27" spans="1:14" x14ac:dyDescent="0.3">
      <c r="A27" t="s">
        <v>134</v>
      </c>
      <c r="B27" t="s">
        <v>49</v>
      </c>
      <c r="C27" t="s">
        <v>135</v>
      </c>
      <c r="D27" t="s">
        <v>136</v>
      </c>
      <c r="E27" t="s">
        <v>61</v>
      </c>
      <c r="F27" t="s">
        <v>19</v>
      </c>
      <c r="G27">
        <v>905000</v>
      </c>
      <c r="H27" s="1">
        <v>45601</v>
      </c>
      <c r="I27">
        <v>2024</v>
      </c>
      <c r="J27" t="s">
        <v>72</v>
      </c>
      <c r="K27">
        <v>11</v>
      </c>
      <c r="L27" t="s">
        <v>21</v>
      </c>
      <c r="M27" t="s">
        <v>22</v>
      </c>
      <c r="N27" t="s">
        <v>40</v>
      </c>
    </row>
    <row r="28" spans="1:14" x14ac:dyDescent="0.3">
      <c r="A28" t="s">
        <v>137</v>
      </c>
      <c r="B28" t="s">
        <v>32</v>
      </c>
      <c r="C28" t="s">
        <v>138</v>
      </c>
      <c r="D28" t="s">
        <v>111</v>
      </c>
      <c r="E28" t="s">
        <v>28</v>
      </c>
      <c r="F28" t="s">
        <v>19</v>
      </c>
      <c r="G28">
        <v>104000</v>
      </c>
      <c r="H28" s="1">
        <v>43887</v>
      </c>
      <c r="I28">
        <v>2020</v>
      </c>
      <c r="J28" t="s">
        <v>108</v>
      </c>
      <c r="K28">
        <v>2</v>
      </c>
      <c r="L28" t="s">
        <v>21</v>
      </c>
      <c r="M28" t="s">
        <v>22</v>
      </c>
      <c r="N28" t="s">
        <v>40</v>
      </c>
    </row>
    <row r="29" spans="1:14" x14ac:dyDescent="0.3">
      <c r="A29" t="s">
        <v>139</v>
      </c>
      <c r="B29" t="s">
        <v>105</v>
      </c>
      <c r="C29" t="s">
        <v>106</v>
      </c>
      <c r="D29" t="s">
        <v>27</v>
      </c>
      <c r="E29" t="s">
        <v>140</v>
      </c>
      <c r="F29" t="s">
        <v>19</v>
      </c>
      <c r="G29">
        <v>333000</v>
      </c>
      <c r="H29" s="1">
        <v>44720</v>
      </c>
      <c r="I29">
        <v>2022</v>
      </c>
      <c r="J29" t="s">
        <v>141</v>
      </c>
      <c r="K29">
        <v>6</v>
      </c>
      <c r="L29" t="s">
        <v>21</v>
      </c>
      <c r="M29" t="s">
        <v>22</v>
      </c>
      <c r="N29" t="s">
        <v>23</v>
      </c>
    </row>
    <row r="30" spans="1:14" x14ac:dyDescent="0.3">
      <c r="A30" t="s">
        <v>142</v>
      </c>
      <c r="B30" t="s">
        <v>32</v>
      </c>
      <c r="C30" t="s">
        <v>33</v>
      </c>
      <c r="D30" t="s">
        <v>136</v>
      </c>
      <c r="E30" t="s">
        <v>121</v>
      </c>
      <c r="F30" t="s">
        <v>128</v>
      </c>
      <c r="G30">
        <v>29000</v>
      </c>
      <c r="H30" s="1">
        <v>44220</v>
      </c>
      <c r="I30">
        <v>2021</v>
      </c>
      <c r="J30" t="s">
        <v>29</v>
      </c>
      <c r="K30">
        <v>1</v>
      </c>
      <c r="L30" t="s">
        <v>21</v>
      </c>
      <c r="M30" t="s">
        <v>22</v>
      </c>
      <c r="N30" t="s">
        <v>40</v>
      </c>
    </row>
    <row r="31" spans="1:14" x14ac:dyDescent="0.3">
      <c r="A31" t="s">
        <v>143</v>
      </c>
      <c r="B31" t="s">
        <v>59</v>
      </c>
      <c r="C31" t="s">
        <v>60</v>
      </c>
      <c r="D31" t="s">
        <v>44</v>
      </c>
      <c r="E31" t="s">
        <v>144</v>
      </c>
      <c r="F31" t="s">
        <v>56</v>
      </c>
      <c r="G31">
        <v>111000</v>
      </c>
      <c r="H31" s="1">
        <v>43974</v>
      </c>
      <c r="I31">
        <v>2020</v>
      </c>
      <c r="J31" t="s">
        <v>77</v>
      </c>
      <c r="K31">
        <v>5</v>
      </c>
      <c r="L31" t="s">
        <v>38</v>
      </c>
      <c r="M31" t="s">
        <v>22</v>
      </c>
      <c r="N31" t="s">
        <v>31</v>
      </c>
    </row>
    <row r="32" spans="1:14" x14ac:dyDescent="0.3">
      <c r="A32" t="s">
        <v>145</v>
      </c>
      <c r="B32" t="s">
        <v>94</v>
      </c>
      <c r="C32" t="s">
        <v>146</v>
      </c>
      <c r="D32" t="s">
        <v>34</v>
      </c>
      <c r="E32" t="s">
        <v>147</v>
      </c>
      <c r="F32" t="s">
        <v>36</v>
      </c>
      <c r="G32">
        <v>26948000</v>
      </c>
      <c r="H32" s="1">
        <v>44499</v>
      </c>
      <c r="I32">
        <v>2021</v>
      </c>
      <c r="J32" t="s">
        <v>89</v>
      </c>
      <c r="K32">
        <v>10</v>
      </c>
      <c r="L32" t="s">
        <v>38</v>
      </c>
      <c r="M32" t="s">
        <v>39</v>
      </c>
      <c r="N32" t="s">
        <v>40</v>
      </c>
    </row>
    <row r="33" spans="1:14" x14ac:dyDescent="0.3">
      <c r="A33" t="s">
        <v>148</v>
      </c>
      <c r="B33" t="s">
        <v>68</v>
      </c>
      <c r="C33" t="s">
        <v>149</v>
      </c>
      <c r="D33" t="s">
        <v>54</v>
      </c>
      <c r="E33" t="s">
        <v>150</v>
      </c>
      <c r="F33" t="s">
        <v>103</v>
      </c>
      <c r="G33">
        <v>1587000</v>
      </c>
      <c r="H33" s="1">
        <v>44447</v>
      </c>
      <c r="I33">
        <v>2021</v>
      </c>
      <c r="J33" t="s">
        <v>46</v>
      </c>
      <c r="K33">
        <v>9</v>
      </c>
      <c r="L33" t="s">
        <v>38</v>
      </c>
      <c r="M33" t="s">
        <v>30</v>
      </c>
      <c r="N33" t="s">
        <v>31</v>
      </c>
    </row>
    <row r="34" spans="1:14" x14ac:dyDescent="0.3">
      <c r="A34" t="s">
        <v>151</v>
      </c>
      <c r="B34" t="s">
        <v>59</v>
      </c>
      <c r="C34" t="s">
        <v>60</v>
      </c>
      <c r="D34" t="s">
        <v>75</v>
      </c>
      <c r="E34" t="s">
        <v>152</v>
      </c>
      <c r="F34" t="s">
        <v>36</v>
      </c>
      <c r="G34">
        <v>5988000</v>
      </c>
      <c r="H34" s="1">
        <v>44783</v>
      </c>
      <c r="I34">
        <v>2022</v>
      </c>
      <c r="J34" t="s">
        <v>153</v>
      </c>
      <c r="K34">
        <v>8</v>
      </c>
      <c r="L34" t="s">
        <v>38</v>
      </c>
      <c r="M34" t="s">
        <v>30</v>
      </c>
      <c r="N34" t="s">
        <v>31</v>
      </c>
    </row>
    <row r="35" spans="1:14" x14ac:dyDescent="0.3">
      <c r="A35" t="s">
        <v>41</v>
      </c>
      <c r="B35" t="s">
        <v>59</v>
      </c>
      <c r="C35" t="s">
        <v>60</v>
      </c>
      <c r="D35" t="s">
        <v>54</v>
      </c>
      <c r="E35" t="s">
        <v>154</v>
      </c>
      <c r="F35" t="s">
        <v>36</v>
      </c>
      <c r="G35">
        <v>69429000</v>
      </c>
      <c r="H35" s="1">
        <v>44412</v>
      </c>
      <c r="I35">
        <v>2021</v>
      </c>
      <c r="J35" t="s">
        <v>153</v>
      </c>
      <c r="K35">
        <v>8</v>
      </c>
      <c r="L35" t="s">
        <v>38</v>
      </c>
      <c r="M35" t="s">
        <v>39</v>
      </c>
      <c r="N35" t="s">
        <v>31</v>
      </c>
    </row>
    <row r="36" spans="1:14" x14ac:dyDescent="0.3">
      <c r="A36" t="s">
        <v>155</v>
      </c>
      <c r="B36" t="s">
        <v>114</v>
      </c>
      <c r="C36" t="s">
        <v>156</v>
      </c>
      <c r="D36" t="s">
        <v>34</v>
      </c>
      <c r="E36" t="s">
        <v>157</v>
      </c>
      <c r="F36" t="s">
        <v>19</v>
      </c>
      <c r="G36">
        <v>1762000</v>
      </c>
      <c r="H36" s="1">
        <v>44238</v>
      </c>
      <c r="I36">
        <v>2021</v>
      </c>
      <c r="J36" t="s">
        <v>108</v>
      </c>
      <c r="K36">
        <v>2</v>
      </c>
      <c r="L36" t="s">
        <v>21</v>
      </c>
      <c r="M36" t="s">
        <v>30</v>
      </c>
      <c r="N36" t="s">
        <v>47</v>
      </c>
    </row>
    <row r="37" spans="1:14" x14ac:dyDescent="0.3">
      <c r="A37" t="s">
        <v>158</v>
      </c>
      <c r="B37" t="s">
        <v>126</v>
      </c>
      <c r="C37" t="s">
        <v>159</v>
      </c>
      <c r="D37" t="s">
        <v>70</v>
      </c>
      <c r="E37" t="s">
        <v>160</v>
      </c>
      <c r="F37" t="s">
        <v>56</v>
      </c>
      <c r="G37">
        <v>643000</v>
      </c>
      <c r="H37" s="1">
        <v>45120</v>
      </c>
      <c r="I37">
        <v>2023</v>
      </c>
      <c r="J37" t="s">
        <v>57</v>
      </c>
      <c r="K37">
        <v>7</v>
      </c>
      <c r="L37" t="s">
        <v>38</v>
      </c>
      <c r="M37" t="s">
        <v>22</v>
      </c>
      <c r="N37" t="s">
        <v>40</v>
      </c>
    </row>
    <row r="38" spans="1:14" x14ac:dyDescent="0.3">
      <c r="A38" t="s">
        <v>161</v>
      </c>
      <c r="B38" t="s">
        <v>105</v>
      </c>
      <c r="C38" t="s">
        <v>162</v>
      </c>
      <c r="D38" t="s">
        <v>17</v>
      </c>
      <c r="E38" t="s">
        <v>51</v>
      </c>
      <c r="F38" t="s">
        <v>132</v>
      </c>
      <c r="G38">
        <v>45633000</v>
      </c>
      <c r="H38" s="1">
        <v>44279</v>
      </c>
      <c r="I38">
        <v>2021</v>
      </c>
      <c r="J38" t="s">
        <v>37</v>
      </c>
      <c r="K38">
        <v>3</v>
      </c>
      <c r="L38" t="s">
        <v>65</v>
      </c>
      <c r="M38" t="s">
        <v>39</v>
      </c>
      <c r="N38" t="s">
        <v>23</v>
      </c>
    </row>
    <row r="39" spans="1:14" x14ac:dyDescent="0.3">
      <c r="A39" t="s">
        <v>163</v>
      </c>
      <c r="B39" t="s">
        <v>15</v>
      </c>
      <c r="C39" t="s">
        <v>74</v>
      </c>
      <c r="D39" t="s">
        <v>70</v>
      </c>
      <c r="E39" t="s">
        <v>164</v>
      </c>
      <c r="F39" t="s">
        <v>19</v>
      </c>
      <c r="G39">
        <v>72000</v>
      </c>
      <c r="H39" s="1">
        <v>44782</v>
      </c>
      <c r="I39">
        <v>2022</v>
      </c>
      <c r="J39" t="s">
        <v>153</v>
      </c>
      <c r="K39">
        <v>8</v>
      </c>
      <c r="L39" t="s">
        <v>21</v>
      </c>
      <c r="M39" t="s">
        <v>22</v>
      </c>
      <c r="N39" t="s">
        <v>23</v>
      </c>
    </row>
    <row r="40" spans="1:14" x14ac:dyDescent="0.3">
      <c r="A40" t="s">
        <v>58</v>
      </c>
      <c r="B40" t="s">
        <v>126</v>
      </c>
      <c r="C40" t="s">
        <v>127</v>
      </c>
      <c r="D40" t="s">
        <v>111</v>
      </c>
      <c r="E40" t="s">
        <v>165</v>
      </c>
      <c r="F40" t="s">
        <v>56</v>
      </c>
      <c r="G40">
        <v>483000</v>
      </c>
      <c r="H40" s="1">
        <v>45688</v>
      </c>
      <c r="I40">
        <v>2025</v>
      </c>
      <c r="J40" t="s">
        <v>29</v>
      </c>
      <c r="K40">
        <v>1</v>
      </c>
      <c r="L40" t="s">
        <v>38</v>
      </c>
      <c r="M40" t="s">
        <v>22</v>
      </c>
      <c r="N40" t="s">
        <v>40</v>
      </c>
    </row>
    <row r="41" spans="1:14" x14ac:dyDescent="0.3">
      <c r="A41" t="s">
        <v>41</v>
      </c>
      <c r="B41" t="s">
        <v>59</v>
      </c>
      <c r="C41" t="s">
        <v>123</v>
      </c>
      <c r="D41" t="s">
        <v>34</v>
      </c>
      <c r="E41" t="s">
        <v>166</v>
      </c>
      <c r="F41" t="s">
        <v>132</v>
      </c>
      <c r="G41">
        <v>65870000</v>
      </c>
      <c r="H41" s="1">
        <v>44898</v>
      </c>
      <c r="I41">
        <v>2022</v>
      </c>
      <c r="J41" t="s">
        <v>99</v>
      </c>
      <c r="K41">
        <v>12</v>
      </c>
      <c r="L41" t="s">
        <v>65</v>
      </c>
      <c r="M41" t="s">
        <v>39</v>
      </c>
      <c r="N41" t="s">
        <v>31</v>
      </c>
    </row>
    <row r="42" spans="1:14" x14ac:dyDescent="0.3">
      <c r="A42" t="s">
        <v>167</v>
      </c>
      <c r="B42" t="s">
        <v>25</v>
      </c>
      <c r="C42" t="s">
        <v>168</v>
      </c>
      <c r="D42" t="s">
        <v>44</v>
      </c>
      <c r="E42" t="s">
        <v>169</v>
      </c>
      <c r="F42" t="s">
        <v>19</v>
      </c>
      <c r="G42">
        <v>78000</v>
      </c>
      <c r="H42" s="1">
        <v>44485</v>
      </c>
      <c r="I42">
        <v>2021</v>
      </c>
      <c r="J42" t="s">
        <v>89</v>
      </c>
      <c r="K42">
        <v>10</v>
      </c>
      <c r="L42" t="s">
        <v>21</v>
      </c>
      <c r="M42" t="s">
        <v>22</v>
      </c>
      <c r="N42" t="s">
        <v>31</v>
      </c>
    </row>
    <row r="43" spans="1:14" x14ac:dyDescent="0.3">
      <c r="A43" t="s">
        <v>170</v>
      </c>
      <c r="B43" t="s">
        <v>25</v>
      </c>
      <c r="C43" t="s">
        <v>171</v>
      </c>
      <c r="D43" t="s">
        <v>17</v>
      </c>
      <c r="E43" t="s">
        <v>172</v>
      </c>
      <c r="F43" t="s">
        <v>56</v>
      </c>
      <c r="G43">
        <v>313000</v>
      </c>
      <c r="H43" s="1">
        <v>44508</v>
      </c>
      <c r="I43">
        <v>2021</v>
      </c>
      <c r="J43" t="s">
        <v>72</v>
      </c>
      <c r="K43">
        <v>11</v>
      </c>
      <c r="L43" t="s">
        <v>38</v>
      </c>
      <c r="M43" t="s">
        <v>22</v>
      </c>
      <c r="N43" t="s">
        <v>31</v>
      </c>
    </row>
    <row r="44" spans="1:14" x14ac:dyDescent="0.3">
      <c r="A44" t="s">
        <v>173</v>
      </c>
      <c r="B44" t="s">
        <v>59</v>
      </c>
      <c r="C44" t="s">
        <v>60</v>
      </c>
      <c r="D44" t="s">
        <v>27</v>
      </c>
      <c r="E44" t="s">
        <v>174</v>
      </c>
      <c r="F44" t="s">
        <v>175</v>
      </c>
      <c r="G44">
        <v>54120000</v>
      </c>
      <c r="H44" s="1">
        <v>45398</v>
      </c>
      <c r="I44">
        <v>2024</v>
      </c>
      <c r="J44" t="s">
        <v>20</v>
      </c>
      <c r="K44">
        <v>4</v>
      </c>
      <c r="L44" t="s">
        <v>65</v>
      </c>
      <c r="M44" t="s">
        <v>39</v>
      </c>
      <c r="N44" t="s">
        <v>31</v>
      </c>
    </row>
    <row r="45" spans="1:14" x14ac:dyDescent="0.3">
      <c r="A45" t="s">
        <v>176</v>
      </c>
      <c r="B45" t="s">
        <v>68</v>
      </c>
      <c r="C45" t="s">
        <v>69</v>
      </c>
      <c r="D45" t="s">
        <v>111</v>
      </c>
      <c r="E45" t="s">
        <v>177</v>
      </c>
      <c r="F45" t="s">
        <v>36</v>
      </c>
      <c r="G45">
        <v>62216000</v>
      </c>
      <c r="H45" s="1">
        <v>44949</v>
      </c>
      <c r="I45">
        <v>2023</v>
      </c>
      <c r="J45" t="s">
        <v>29</v>
      </c>
      <c r="K45">
        <v>1</v>
      </c>
      <c r="L45" t="s">
        <v>38</v>
      </c>
      <c r="M45" t="s">
        <v>39</v>
      </c>
      <c r="N45" t="s">
        <v>31</v>
      </c>
    </row>
    <row r="46" spans="1:14" x14ac:dyDescent="0.3">
      <c r="A46" t="s">
        <v>178</v>
      </c>
      <c r="B46" t="s">
        <v>81</v>
      </c>
      <c r="C46" t="s">
        <v>90</v>
      </c>
      <c r="D46" t="s">
        <v>96</v>
      </c>
      <c r="E46" t="s">
        <v>179</v>
      </c>
      <c r="F46" t="s">
        <v>36</v>
      </c>
      <c r="G46">
        <v>10246000</v>
      </c>
      <c r="H46" s="1">
        <v>45465</v>
      </c>
      <c r="I46">
        <v>2024</v>
      </c>
      <c r="J46" t="s">
        <v>141</v>
      </c>
      <c r="K46">
        <v>6</v>
      </c>
      <c r="L46" t="s">
        <v>38</v>
      </c>
      <c r="M46" t="s">
        <v>39</v>
      </c>
      <c r="N46" t="s">
        <v>84</v>
      </c>
    </row>
    <row r="47" spans="1:14" x14ac:dyDescent="0.3">
      <c r="A47" t="s">
        <v>180</v>
      </c>
      <c r="B47" t="s">
        <v>32</v>
      </c>
      <c r="C47" t="s">
        <v>33</v>
      </c>
      <c r="D47" t="s">
        <v>136</v>
      </c>
      <c r="E47" t="s">
        <v>112</v>
      </c>
      <c r="F47" t="s">
        <v>103</v>
      </c>
      <c r="G47">
        <v>6014000</v>
      </c>
      <c r="H47" s="1">
        <v>45188</v>
      </c>
      <c r="I47">
        <v>2023</v>
      </c>
      <c r="J47" t="s">
        <v>46</v>
      </c>
      <c r="K47">
        <v>9</v>
      </c>
      <c r="L47" t="s">
        <v>38</v>
      </c>
      <c r="M47" t="s">
        <v>30</v>
      </c>
      <c r="N47" t="s">
        <v>40</v>
      </c>
    </row>
    <row r="48" spans="1:14" x14ac:dyDescent="0.3">
      <c r="A48" t="s">
        <v>181</v>
      </c>
      <c r="B48" t="s">
        <v>42</v>
      </c>
      <c r="C48" t="s">
        <v>182</v>
      </c>
      <c r="D48" t="s">
        <v>27</v>
      </c>
      <c r="E48" t="s">
        <v>183</v>
      </c>
      <c r="F48" t="s">
        <v>19</v>
      </c>
      <c r="G48">
        <v>158000</v>
      </c>
      <c r="H48" s="1">
        <v>44501</v>
      </c>
      <c r="I48">
        <v>2021</v>
      </c>
      <c r="J48" t="s">
        <v>72</v>
      </c>
      <c r="K48">
        <v>11</v>
      </c>
      <c r="L48" t="s">
        <v>21</v>
      </c>
      <c r="M48" t="s">
        <v>22</v>
      </c>
      <c r="N48" t="s">
        <v>47</v>
      </c>
    </row>
    <row r="49" spans="1:14" x14ac:dyDescent="0.3">
      <c r="A49" t="s">
        <v>184</v>
      </c>
      <c r="B49" t="s">
        <v>68</v>
      </c>
      <c r="C49" t="s">
        <v>69</v>
      </c>
      <c r="D49" t="s">
        <v>136</v>
      </c>
      <c r="E49" t="s">
        <v>150</v>
      </c>
      <c r="F49" t="s">
        <v>19</v>
      </c>
      <c r="G49">
        <v>341000</v>
      </c>
      <c r="H49" s="1">
        <v>43998</v>
      </c>
      <c r="I49">
        <v>2020</v>
      </c>
      <c r="J49" t="s">
        <v>141</v>
      </c>
      <c r="K49">
        <v>6</v>
      </c>
      <c r="L49" t="s">
        <v>21</v>
      </c>
      <c r="M49" t="s">
        <v>22</v>
      </c>
      <c r="N49" t="s">
        <v>31</v>
      </c>
    </row>
    <row r="50" spans="1:14" x14ac:dyDescent="0.3">
      <c r="A50" t="s">
        <v>185</v>
      </c>
      <c r="B50" t="s">
        <v>186</v>
      </c>
      <c r="C50" t="s">
        <v>187</v>
      </c>
      <c r="D50" t="s">
        <v>27</v>
      </c>
      <c r="E50" t="s">
        <v>116</v>
      </c>
      <c r="F50" t="s">
        <v>188</v>
      </c>
      <c r="G50">
        <v>376000</v>
      </c>
      <c r="H50" s="1">
        <v>44239</v>
      </c>
      <c r="I50">
        <v>2021</v>
      </c>
      <c r="J50" t="s">
        <v>108</v>
      </c>
      <c r="K50">
        <v>2</v>
      </c>
      <c r="L50" t="s">
        <v>38</v>
      </c>
      <c r="M50" t="s">
        <v>22</v>
      </c>
      <c r="N50" t="s">
        <v>31</v>
      </c>
    </row>
    <row r="51" spans="1:14" x14ac:dyDescent="0.3">
      <c r="A51" t="s">
        <v>189</v>
      </c>
      <c r="B51" t="s">
        <v>49</v>
      </c>
      <c r="C51" t="s">
        <v>135</v>
      </c>
      <c r="D51" t="s">
        <v>75</v>
      </c>
      <c r="E51" t="s">
        <v>190</v>
      </c>
      <c r="F51" t="s">
        <v>188</v>
      </c>
      <c r="G51">
        <v>99000</v>
      </c>
      <c r="H51" s="1">
        <v>44783</v>
      </c>
      <c r="I51">
        <v>2022</v>
      </c>
      <c r="J51" t="s">
        <v>153</v>
      </c>
      <c r="K51">
        <v>8</v>
      </c>
      <c r="L51" t="s">
        <v>38</v>
      </c>
      <c r="M51" t="s">
        <v>22</v>
      </c>
      <c r="N51" t="s">
        <v>40</v>
      </c>
    </row>
    <row r="52" spans="1:14" x14ac:dyDescent="0.3">
      <c r="A52" t="s">
        <v>191</v>
      </c>
      <c r="B52" t="s">
        <v>59</v>
      </c>
      <c r="C52" t="s">
        <v>123</v>
      </c>
      <c r="D52" t="s">
        <v>34</v>
      </c>
      <c r="E52" t="s">
        <v>192</v>
      </c>
      <c r="F52" t="s">
        <v>19</v>
      </c>
      <c r="G52">
        <v>1788000</v>
      </c>
      <c r="H52" s="1">
        <v>43883</v>
      </c>
      <c r="I52">
        <v>2020</v>
      </c>
      <c r="J52" t="s">
        <v>108</v>
      </c>
      <c r="K52">
        <v>2</v>
      </c>
      <c r="L52" t="s">
        <v>21</v>
      </c>
      <c r="M52" t="s">
        <v>30</v>
      </c>
      <c r="N52" t="s">
        <v>31</v>
      </c>
    </row>
    <row r="53" spans="1:14" x14ac:dyDescent="0.3">
      <c r="A53" t="s">
        <v>193</v>
      </c>
      <c r="B53" t="s">
        <v>25</v>
      </c>
      <c r="C53" t="s">
        <v>171</v>
      </c>
      <c r="D53" t="s">
        <v>17</v>
      </c>
      <c r="E53" t="s">
        <v>194</v>
      </c>
      <c r="F53" t="s">
        <v>103</v>
      </c>
      <c r="G53">
        <v>8159000</v>
      </c>
      <c r="H53" s="1">
        <v>45532</v>
      </c>
      <c r="I53">
        <v>2024</v>
      </c>
      <c r="J53" t="s">
        <v>153</v>
      </c>
      <c r="K53">
        <v>8</v>
      </c>
      <c r="L53" t="s">
        <v>38</v>
      </c>
      <c r="M53" t="s">
        <v>30</v>
      </c>
      <c r="N53" t="s">
        <v>31</v>
      </c>
    </row>
    <row r="54" spans="1:14" x14ac:dyDescent="0.3">
      <c r="A54" t="s">
        <v>14</v>
      </c>
      <c r="B54" t="s">
        <v>59</v>
      </c>
      <c r="C54" t="s">
        <v>60</v>
      </c>
      <c r="D54" t="s">
        <v>27</v>
      </c>
      <c r="E54" t="s">
        <v>195</v>
      </c>
      <c r="F54" t="s">
        <v>19</v>
      </c>
      <c r="G54">
        <v>1600000</v>
      </c>
      <c r="H54" s="1">
        <v>44708</v>
      </c>
      <c r="I54">
        <v>2022</v>
      </c>
      <c r="J54" t="s">
        <v>77</v>
      </c>
      <c r="K54">
        <v>5</v>
      </c>
      <c r="L54" t="s">
        <v>21</v>
      </c>
      <c r="M54" t="s">
        <v>30</v>
      </c>
      <c r="N54" t="s">
        <v>31</v>
      </c>
    </row>
    <row r="55" spans="1:14" x14ac:dyDescent="0.3">
      <c r="A55" t="s">
        <v>173</v>
      </c>
      <c r="B55" t="s">
        <v>186</v>
      </c>
      <c r="C55" t="s">
        <v>60</v>
      </c>
      <c r="D55" t="s">
        <v>96</v>
      </c>
      <c r="E55" t="s">
        <v>196</v>
      </c>
      <c r="F55" t="s">
        <v>36</v>
      </c>
      <c r="G55">
        <v>59765000</v>
      </c>
      <c r="H55" s="1">
        <v>45528</v>
      </c>
      <c r="I55">
        <v>2024</v>
      </c>
      <c r="J55" t="s">
        <v>153</v>
      </c>
      <c r="K55">
        <v>8</v>
      </c>
      <c r="L55" t="s">
        <v>38</v>
      </c>
      <c r="M55" t="s">
        <v>39</v>
      </c>
      <c r="N55" t="s">
        <v>31</v>
      </c>
    </row>
    <row r="56" spans="1:14" x14ac:dyDescent="0.3">
      <c r="A56" t="s">
        <v>178</v>
      </c>
      <c r="B56" t="s">
        <v>32</v>
      </c>
      <c r="C56" t="s">
        <v>138</v>
      </c>
      <c r="D56" t="s">
        <v>70</v>
      </c>
      <c r="E56" t="s">
        <v>197</v>
      </c>
      <c r="F56" t="s">
        <v>103</v>
      </c>
      <c r="G56">
        <v>5049000</v>
      </c>
      <c r="H56" s="1">
        <v>45328</v>
      </c>
      <c r="I56">
        <v>2024</v>
      </c>
      <c r="J56" t="s">
        <v>108</v>
      </c>
      <c r="K56">
        <v>2</v>
      </c>
      <c r="L56" t="s">
        <v>38</v>
      </c>
      <c r="M56" t="s">
        <v>30</v>
      </c>
      <c r="N56" t="s">
        <v>40</v>
      </c>
    </row>
    <row r="57" spans="1:14" x14ac:dyDescent="0.3">
      <c r="A57" t="s">
        <v>198</v>
      </c>
      <c r="B57" t="s">
        <v>94</v>
      </c>
      <c r="C57" t="s">
        <v>159</v>
      </c>
      <c r="D57" t="s">
        <v>44</v>
      </c>
      <c r="E57" t="s">
        <v>199</v>
      </c>
      <c r="F57" t="s">
        <v>132</v>
      </c>
      <c r="G57">
        <v>242794000</v>
      </c>
      <c r="H57" s="1">
        <v>44998</v>
      </c>
      <c r="I57">
        <v>2023</v>
      </c>
      <c r="J57" t="s">
        <v>37</v>
      </c>
      <c r="K57">
        <v>3</v>
      </c>
      <c r="L57" t="s">
        <v>65</v>
      </c>
      <c r="M57" t="s">
        <v>66</v>
      </c>
      <c r="N57" t="s">
        <v>40</v>
      </c>
    </row>
    <row r="58" spans="1:14" x14ac:dyDescent="0.3">
      <c r="A58" t="s">
        <v>161</v>
      </c>
      <c r="B58" t="s">
        <v>105</v>
      </c>
      <c r="C58" t="s">
        <v>119</v>
      </c>
      <c r="D58" t="s">
        <v>44</v>
      </c>
      <c r="E58" t="s">
        <v>200</v>
      </c>
      <c r="F58" t="s">
        <v>56</v>
      </c>
      <c r="G58">
        <v>123000</v>
      </c>
      <c r="H58" s="1">
        <v>44360</v>
      </c>
      <c r="I58">
        <v>2021</v>
      </c>
      <c r="J58" t="s">
        <v>141</v>
      </c>
      <c r="K58">
        <v>6</v>
      </c>
      <c r="L58" t="s">
        <v>38</v>
      </c>
      <c r="M58" t="s">
        <v>22</v>
      </c>
      <c r="N58" t="s">
        <v>23</v>
      </c>
    </row>
    <row r="59" spans="1:14" x14ac:dyDescent="0.3">
      <c r="A59" t="s">
        <v>201</v>
      </c>
      <c r="B59" t="s">
        <v>32</v>
      </c>
      <c r="C59" t="s">
        <v>33</v>
      </c>
      <c r="D59" t="s">
        <v>17</v>
      </c>
      <c r="E59" t="s">
        <v>202</v>
      </c>
      <c r="F59" t="s">
        <v>19</v>
      </c>
      <c r="G59">
        <v>103000</v>
      </c>
      <c r="H59" s="1">
        <v>44663</v>
      </c>
      <c r="I59">
        <v>2022</v>
      </c>
      <c r="J59" t="s">
        <v>20</v>
      </c>
      <c r="K59">
        <v>4</v>
      </c>
      <c r="L59" t="s">
        <v>21</v>
      </c>
      <c r="M59" t="s">
        <v>22</v>
      </c>
      <c r="N59" t="s">
        <v>40</v>
      </c>
    </row>
    <row r="60" spans="1:14" x14ac:dyDescent="0.3">
      <c r="A60" t="s">
        <v>41</v>
      </c>
      <c r="B60" t="s">
        <v>42</v>
      </c>
      <c r="C60" t="s">
        <v>43</v>
      </c>
      <c r="D60" t="s">
        <v>27</v>
      </c>
      <c r="E60" t="s">
        <v>203</v>
      </c>
      <c r="F60" t="s">
        <v>19</v>
      </c>
      <c r="G60">
        <v>59000</v>
      </c>
      <c r="H60" s="1">
        <v>44284</v>
      </c>
      <c r="I60">
        <v>2021</v>
      </c>
      <c r="J60" t="s">
        <v>37</v>
      </c>
      <c r="K60">
        <v>3</v>
      </c>
      <c r="L60" t="s">
        <v>21</v>
      </c>
      <c r="M60" t="s">
        <v>22</v>
      </c>
      <c r="N60" t="s">
        <v>47</v>
      </c>
    </row>
    <row r="61" spans="1:14" x14ac:dyDescent="0.3">
      <c r="A61" t="s">
        <v>204</v>
      </c>
      <c r="B61" t="s">
        <v>42</v>
      </c>
      <c r="C61" t="s">
        <v>205</v>
      </c>
      <c r="D61" t="s">
        <v>111</v>
      </c>
      <c r="E61" t="s">
        <v>206</v>
      </c>
      <c r="F61" t="s">
        <v>19</v>
      </c>
      <c r="G61">
        <v>166000</v>
      </c>
      <c r="H61" s="1">
        <v>45358</v>
      </c>
      <c r="I61">
        <v>2024</v>
      </c>
      <c r="J61" t="s">
        <v>37</v>
      </c>
      <c r="K61">
        <v>3</v>
      </c>
      <c r="L61" t="s">
        <v>21</v>
      </c>
      <c r="M61" t="s">
        <v>22</v>
      </c>
      <c r="N61" t="s">
        <v>47</v>
      </c>
    </row>
    <row r="62" spans="1:14" x14ac:dyDescent="0.3">
      <c r="A62" t="s">
        <v>178</v>
      </c>
      <c r="B62" t="s">
        <v>15</v>
      </c>
      <c r="C62" t="s">
        <v>74</v>
      </c>
      <c r="D62" t="s">
        <v>44</v>
      </c>
      <c r="E62" t="s">
        <v>207</v>
      </c>
      <c r="F62" t="s">
        <v>19</v>
      </c>
      <c r="G62">
        <v>210000</v>
      </c>
      <c r="H62" s="1">
        <v>45352</v>
      </c>
      <c r="I62">
        <v>2024</v>
      </c>
      <c r="J62" t="s">
        <v>37</v>
      </c>
      <c r="K62">
        <v>3</v>
      </c>
      <c r="L62" t="s">
        <v>21</v>
      </c>
      <c r="M62" t="s">
        <v>22</v>
      </c>
      <c r="N62" t="s">
        <v>23</v>
      </c>
    </row>
    <row r="63" spans="1:14" x14ac:dyDescent="0.3">
      <c r="A63" t="s">
        <v>148</v>
      </c>
      <c r="B63" t="s">
        <v>42</v>
      </c>
      <c r="C63" t="s">
        <v>43</v>
      </c>
      <c r="D63" t="s">
        <v>75</v>
      </c>
      <c r="E63" t="s">
        <v>208</v>
      </c>
      <c r="F63" t="s">
        <v>188</v>
      </c>
      <c r="G63">
        <v>136000</v>
      </c>
      <c r="H63" s="1">
        <v>44905</v>
      </c>
      <c r="I63">
        <v>2022</v>
      </c>
      <c r="J63" t="s">
        <v>99</v>
      </c>
      <c r="K63">
        <v>12</v>
      </c>
      <c r="L63" t="s">
        <v>38</v>
      </c>
      <c r="M63" t="s">
        <v>22</v>
      </c>
      <c r="N63" t="s">
        <v>47</v>
      </c>
    </row>
    <row r="64" spans="1:14" x14ac:dyDescent="0.3">
      <c r="A64" t="s">
        <v>148</v>
      </c>
      <c r="B64" t="s">
        <v>86</v>
      </c>
      <c r="C64" t="s">
        <v>87</v>
      </c>
      <c r="D64" t="s">
        <v>34</v>
      </c>
      <c r="E64" t="s">
        <v>200</v>
      </c>
      <c r="F64" t="s">
        <v>117</v>
      </c>
      <c r="G64">
        <v>135000</v>
      </c>
      <c r="H64" s="1">
        <v>44924</v>
      </c>
      <c r="I64">
        <v>2022</v>
      </c>
      <c r="J64" t="s">
        <v>99</v>
      </c>
      <c r="K64">
        <v>12</v>
      </c>
      <c r="L64" t="s">
        <v>21</v>
      </c>
      <c r="M64" t="s">
        <v>22</v>
      </c>
      <c r="N64" t="s">
        <v>47</v>
      </c>
    </row>
    <row r="65" spans="1:14" x14ac:dyDescent="0.3">
      <c r="A65" t="s">
        <v>48</v>
      </c>
      <c r="B65" t="s">
        <v>32</v>
      </c>
      <c r="C65" t="s">
        <v>138</v>
      </c>
      <c r="D65" t="s">
        <v>54</v>
      </c>
      <c r="E65" t="s">
        <v>209</v>
      </c>
      <c r="F65" t="s">
        <v>36</v>
      </c>
      <c r="G65">
        <v>13444000</v>
      </c>
      <c r="H65" s="1">
        <v>45372</v>
      </c>
      <c r="I65">
        <v>2024</v>
      </c>
      <c r="J65" t="s">
        <v>37</v>
      </c>
      <c r="K65">
        <v>3</v>
      </c>
      <c r="L65" t="s">
        <v>38</v>
      </c>
      <c r="M65" t="s">
        <v>39</v>
      </c>
      <c r="N65" t="s">
        <v>40</v>
      </c>
    </row>
    <row r="66" spans="1:14" x14ac:dyDescent="0.3">
      <c r="A66" t="s">
        <v>210</v>
      </c>
      <c r="B66" t="s">
        <v>42</v>
      </c>
      <c r="C66" t="s">
        <v>43</v>
      </c>
      <c r="D66" t="s">
        <v>54</v>
      </c>
      <c r="E66" t="s">
        <v>211</v>
      </c>
      <c r="F66" t="s">
        <v>188</v>
      </c>
      <c r="G66">
        <v>141000</v>
      </c>
      <c r="H66" s="1">
        <v>44348</v>
      </c>
      <c r="I66">
        <v>2021</v>
      </c>
      <c r="J66" t="s">
        <v>141</v>
      </c>
      <c r="K66">
        <v>6</v>
      </c>
      <c r="L66" t="s">
        <v>38</v>
      </c>
      <c r="M66" t="s">
        <v>22</v>
      </c>
      <c r="N66" t="s">
        <v>47</v>
      </c>
    </row>
    <row r="67" spans="1:14" x14ac:dyDescent="0.3">
      <c r="A67" t="s">
        <v>212</v>
      </c>
      <c r="B67" t="s">
        <v>49</v>
      </c>
      <c r="C67" t="s">
        <v>50</v>
      </c>
      <c r="D67" t="s">
        <v>27</v>
      </c>
      <c r="E67" t="s">
        <v>213</v>
      </c>
      <c r="F67" t="s">
        <v>19</v>
      </c>
      <c r="G67">
        <v>370000</v>
      </c>
      <c r="H67" s="1">
        <v>45492</v>
      </c>
      <c r="I67">
        <v>2024</v>
      </c>
      <c r="J67" t="s">
        <v>57</v>
      </c>
      <c r="K67">
        <v>7</v>
      </c>
      <c r="L67" t="s">
        <v>21</v>
      </c>
      <c r="M67" t="s">
        <v>22</v>
      </c>
      <c r="N67" t="s">
        <v>40</v>
      </c>
    </row>
    <row r="68" spans="1:14" x14ac:dyDescent="0.3">
      <c r="A68" t="s">
        <v>80</v>
      </c>
      <c r="B68" t="s">
        <v>59</v>
      </c>
      <c r="C68" t="s">
        <v>149</v>
      </c>
      <c r="D68" t="s">
        <v>75</v>
      </c>
      <c r="E68" t="s">
        <v>51</v>
      </c>
      <c r="F68" t="s">
        <v>103</v>
      </c>
      <c r="G68">
        <v>1465000</v>
      </c>
      <c r="H68" s="1">
        <v>45097</v>
      </c>
      <c r="I68">
        <v>2023</v>
      </c>
      <c r="J68" t="s">
        <v>141</v>
      </c>
      <c r="K68">
        <v>6</v>
      </c>
      <c r="L68" t="s">
        <v>38</v>
      </c>
      <c r="M68" t="s">
        <v>30</v>
      </c>
      <c r="N68" t="s">
        <v>31</v>
      </c>
    </row>
    <row r="69" spans="1:14" x14ac:dyDescent="0.3">
      <c r="A69" t="s">
        <v>214</v>
      </c>
      <c r="B69" t="s">
        <v>42</v>
      </c>
      <c r="C69" t="s">
        <v>43</v>
      </c>
      <c r="D69" t="s">
        <v>75</v>
      </c>
      <c r="E69" t="s">
        <v>215</v>
      </c>
      <c r="F69" t="s">
        <v>92</v>
      </c>
      <c r="G69">
        <v>14625000</v>
      </c>
      <c r="H69" s="1">
        <v>44456</v>
      </c>
      <c r="I69">
        <v>2021</v>
      </c>
      <c r="J69" t="s">
        <v>46</v>
      </c>
      <c r="K69">
        <v>9</v>
      </c>
      <c r="L69" t="s">
        <v>65</v>
      </c>
      <c r="M69" t="s">
        <v>39</v>
      </c>
      <c r="N69" t="s">
        <v>47</v>
      </c>
    </row>
    <row r="70" spans="1:14" x14ac:dyDescent="0.3">
      <c r="A70" t="s">
        <v>216</v>
      </c>
      <c r="B70" t="s">
        <v>59</v>
      </c>
      <c r="C70" t="s">
        <v>123</v>
      </c>
      <c r="D70" t="s">
        <v>44</v>
      </c>
      <c r="E70" t="s">
        <v>217</v>
      </c>
      <c r="F70" t="s">
        <v>19</v>
      </c>
      <c r="G70">
        <v>66000</v>
      </c>
      <c r="H70" s="1">
        <v>43997</v>
      </c>
      <c r="I70">
        <v>2020</v>
      </c>
      <c r="J70" t="s">
        <v>141</v>
      </c>
      <c r="K70">
        <v>6</v>
      </c>
      <c r="L70" t="s">
        <v>21</v>
      </c>
      <c r="M70" t="s">
        <v>22</v>
      </c>
      <c r="N70" t="s">
        <v>31</v>
      </c>
    </row>
    <row r="71" spans="1:14" x14ac:dyDescent="0.3">
      <c r="A71" t="s">
        <v>167</v>
      </c>
      <c r="B71" t="s">
        <v>105</v>
      </c>
      <c r="C71" t="s">
        <v>162</v>
      </c>
      <c r="D71" t="s">
        <v>136</v>
      </c>
      <c r="E71" t="s">
        <v>218</v>
      </c>
      <c r="F71" t="s">
        <v>103</v>
      </c>
      <c r="G71">
        <v>14477000</v>
      </c>
      <c r="H71" s="1">
        <v>45047</v>
      </c>
      <c r="I71">
        <v>2023</v>
      </c>
      <c r="J71" t="s">
        <v>77</v>
      </c>
      <c r="K71">
        <v>5</v>
      </c>
      <c r="L71" t="s">
        <v>38</v>
      </c>
      <c r="M71" t="s">
        <v>39</v>
      </c>
      <c r="N71" t="s">
        <v>23</v>
      </c>
    </row>
    <row r="72" spans="1:14" x14ac:dyDescent="0.3">
      <c r="A72" t="s">
        <v>210</v>
      </c>
      <c r="B72" t="s">
        <v>42</v>
      </c>
      <c r="C72" t="s">
        <v>182</v>
      </c>
      <c r="D72" t="s">
        <v>44</v>
      </c>
      <c r="E72" t="s">
        <v>219</v>
      </c>
      <c r="F72" t="s">
        <v>128</v>
      </c>
      <c r="G72">
        <v>51000</v>
      </c>
      <c r="H72" s="1">
        <v>45444</v>
      </c>
      <c r="I72">
        <v>2024</v>
      </c>
      <c r="J72" t="s">
        <v>141</v>
      </c>
      <c r="K72">
        <v>6</v>
      </c>
      <c r="L72" t="s">
        <v>21</v>
      </c>
      <c r="M72" t="s">
        <v>22</v>
      </c>
      <c r="N72" t="s">
        <v>47</v>
      </c>
    </row>
    <row r="73" spans="1:14" x14ac:dyDescent="0.3">
      <c r="A73" t="s">
        <v>191</v>
      </c>
      <c r="B73" t="s">
        <v>32</v>
      </c>
      <c r="C73" t="s">
        <v>33</v>
      </c>
      <c r="D73" t="s">
        <v>54</v>
      </c>
      <c r="E73" t="s">
        <v>121</v>
      </c>
      <c r="F73" t="s">
        <v>128</v>
      </c>
      <c r="G73">
        <v>9000</v>
      </c>
      <c r="H73" s="1">
        <v>45523</v>
      </c>
      <c r="I73">
        <v>2024</v>
      </c>
      <c r="J73" t="s">
        <v>153</v>
      </c>
      <c r="K73">
        <v>8</v>
      </c>
      <c r="L73" t="s">
        <v>21</v>
      </c>
      <c r="M73" t="s">
        <v>22</v>
      </c>
      <c r="N73" t="s">
        <v>40</v>
      </c>
    </row>
    <row r="74" spans="1:14" x14ac:dyDescent="0.3">
      <c r="A74" t="s">
        <v>220</v>
      </c>
      <c r="B74" t="s">
        <v>59</v>
      </c>
      <c r="C74" t="s">
        <v>149</v>
      </c>
      <c r="D74" t="s">
        <v>75</v>
      </c>
      <c r="E74" t="s">
        <v>183</v>
      </c>
      <c r="F74" t="s">
        <v>36</v>
      </c>
      <c r="G74">
        <v>5077000</v>
      </c>
      <c r="H74" s="1">
        <v>44996</v>
      </c>
      <c r="I74">
        <v>2023</v>
      </c>
      <c r="J74" t="s">
        <v>37</v>
      </c>
      <c r="K74">
        <v>3</v>
      </c>
      <c r="L74" t="s">
        <v>38</v>
      </c>
      <c r="M74" t="s">
        <v>30</v>
      </c>
      <c r="N74" t="s">
        <v>31</v>
      </c>
    </row>
    <row r="75" spans="1:14" x14ac:dyDescent="0.3">
      <c r="A75" t="s">
        <v>221</v>
      </c>
      <c r="B75" t="s">
        <v>25</v>
      </c>
      <c r="C75" t="s">
        <v>168</v>
      </c>
      <c r="D75" t="s">
        <v>136</v>
      </c>
      <c r="E75" t="s">
        <v>222</v>
      </c>
      <c r="F75" t="s">
        <v>188</v>
      </c>
      <c r="G75">
        <v>1012000</v>
      </c>
      <c r="H75" s="1">
        <v>44855</v>
      </c>
      <c r="I75">
        <v>2022</v>
      </c>
      <c r="J75" t="s">
        <v>89</v>
      </c>
      <c r="K75">
        <v>10</v>
      </c>
      <c r="L75" t="s">
        <v>38</v>
      </c>
      <c r="M75" t="s">
        <v>30</v>
      </c>
      <c r="N75" t="s">
        <v>31</v>
      </c>
    </row>
    <row r="76" spans="1:14" x14ac:dyDescent="0.3">
      <c r="A76" t="s">
        <v>223</v>
      </c>
      <c r="B76" t="s">
        <v>68</v>
      </c>
      <c r="C76" t="s">
        <v>149</v>
      </c>
      <c r="D76" t="s">
        <v>96</v>
      </c>
      <c r="E76" t="s">
        <v>18</v>
      </c>
      <c r="F76" t="s">
        <v>103</v>
      </c>
      <c r="G76">
        <v>6782000</v>
      </c>
      <c r="H76" s="1">
        <v>43883</v>
      </c>
      <c r="I76">
        <v>2020</v>
      </c>
      <c r="J76" t="s">
        <v>108</v>
      </c>
      <c r="K76">
        <v>2</v>
      </c>
      <c r="L76" t="s">
        <v>38</v>
      </c>
      <c r="M76" t="s">
        <v>30</v>
      </c>
      <c r="N76" t="s">
        <v>31</v>
      </c>
    </row>
    <row r="77" spans="1:14" x14ac:dyDescent="0.3">
      <c r="A77" t="s">
        <v>224</v>
      </c>
      <c r="B77" t="s">
        <v>49</v>
      </c>
      <c r="C77" t="s">
        <v>225</v>
      </c>
      <c r="D77" t="s">
        <v>75</v>
      </c>
      <c r="E77" t="s">
        <v>226</v>
      </c>
      <c r="F77" t="s">
        <v>117</v>
      </c>
      <c r="G77">
        <v>107000</v>
      </c>
      <c r="H77" s="1">
        <v>45379</v>
      </c>
      <c r="I77">
        <v>2024</v>
      </c>
      <c r="J77" t="s">
        <v>37</v>
      </c>
      <c r="K77">
        <v>3</v>
      </c>
      <c r="L77" t="s">
        <v>21</v>
      </c>
      <c r="M77" t="s">
        <v>22</v>
      </c>
      <c r="N77" t="s">
        <v>40</v>
      </c>
    </row>
    <row r="78" spans="1:14" x14ac:dyDescent="0.3">
      <c r="A78" t="s">
        <v>58</v>
      </c>
      <c r="B78" t="s">
        <v>94</v>
      </c>
      <c r="C78" t="s">
        <v>95</v>
      </c>
      <c r="D78" t="s">
        <v>75</v>
      </c>
      <c r="E78" t="s">
        <v>227</v>
      </c>
      <c r="F78" t="s">
        <v>103</v>
      </c>
      <c r="G78">
        <v>8074000</v>
      </c>
      <c r="H78" s="1">
        <v>45498</v>
      </c>
      <c r="I78">
        <v>2024</v>
      </c>
      <c r="J78" t="s">
        <v>57</v>
      </c>
      <c r="K78">
        <v>7</v>
      </c>
      <c r="L78" t="s">
        <v>38</v>
      </c>
      <c r="M78" t="s">
        <v>30</v>
      </c>
      <c r="N78" t="s">
        <v>40</v>
      </c>
    </row>
    <row r="79" spans="1:14" x14ac:dyDescent="0.3">
      <c r="A79" t="s">
        <v>125</v>
      </c>
      <c r="B79" t="s">
        <v>86</v>
      </c>
      <c r="C79" t="s">
        <v>228</v>
      </c>
      <c r="D79" t="s">
        <v>17</v>
      </c>
      <c r="E79" t="s">
        <v>229</v>
      </c>
      <c r="F79" t="s">
        <v>175</v>
      </c>
      <c r="G79">
        <v>59295000</v>
      </c>
      <c r="H79" s="1">
        <v>44506</v>
      </c>
      <c r="I79">
        <v>2021</v>
      </c>
      <c r="J79" t="s">
        <v>72</v>
      </c>
      <c r="K79">
        <v>11</v>
      </c>
      <c r="L79" t="s">
        <v>65</v>
      </c>
      <c r="M79" t="s">
        <v>39</v>
      </c>
      <c r="N79" t="s">
        <v>47</v>
      </c>
    </row>
    <row r="80" spans="1:14" x14ac:dyDescent="0.3">
      <c r="A80" t="s">
        <v>230</v>
      </c>
      <c r="B80" t="s">
        <v>32</v>
      </c>
      <c r="C80" t="s">
        <v>33</v>
      </c>
      <c r="D80" t="s">
        <v>70</v>
      </c>
      <c r="E80" t="s">
        <v>231</v>
      </c>
      <c r="F80" t="s">
        <v>19</v>
      </c>
      <c r="G80">
        <v>188000</v>
      </c>
      <c r="H80" s="1">
        <v>44347</v>
      </c>
      <c r="I80">
        <v>2021</v>
      </c>
      <c r="J80" t="s">
        <v>77</v>
      </c>
      <c r="K80">
        <v>5</v>
      </c>
      <c r="L80" t="s">
        <v>21</v>
      </c>
      <c r="M80" t="s">
        <v>22</v>
      </c>
      <c r="N80" t="s">
        <v>40</v>
      </c>
    </row>
    <row r="81" spans="1:14" x14ac:dyDescent="0.3">
      <c r="A81" t="s">
        <v>232</v>
      </c>
      <c r="B81" t="s">
        <v>114</v>
      </c>
      <c r="C81" t="s">
        <v>156</v>
      </c>
      <c r="D81" t="s">
        <v>111</v>
      </c>
      <c r="E81" t="s">
        <v>91</v>
      </c>
      <c r="F81" t="s">
        <v>103</v>
      </c>
      <c r="G81">
        <v>1369000</v>
      </c>
      <c r="H81" s="1">
        <v>43942</v>
      </c>
      <c r="I81">
        <v>2020</v>
      </c>
      <c r="J81" t="s">
        <v>20</v>
      </c>
      <c r="K81">
        <v>4</v>
      </c>
      <c r="L81" t="s">
        <v>38</v>
      </c>
      <c r="M81" t="s">
        <v>30</v>
      </c>
      <c r="N81" t="s">
        <v>47</v>
      </c>
    </row>
    <row r="82" spans="1:14" x14ac:dyDescent="0.3">
      <c r="A82" t="s">
        <v>233</v>
      </c>
      <c r="B82" t="s">
        <v>49</v>
      </c>
      <c r="C82" t="s">
        <v>225</v>
      </c>
      <c r="D82" t="s">
        <v>27</v>
      </c>
      <c r="E82" t="s">
        <v>234</v>
      </c>
      <c r="F82" t="s">
        <v>19</v>
      </c>
      <c r="G82">
        <v>1207000</v>
      </c>
      <c r="H82" s="1">
        <v>44955</v>
      </c>
      <c r="I82">
        <v>2023</v>
      </c>
      <c r="J82" t="s">
        <v>29</v>
      </c>
      <c r="K82">
        <v>1</v>
      </c>
      <c r="L82" t="s">
        <v>21</v>
      </c>
      <c r="M82" t="s">
        <v>30</v>
      </c>
      <c r="N82" t="s">
        <v>40</v>
      </c>
    </row>
    <row r="83" spans="1:14" x14ac:dyDescent="0.3">
      <c r="A83" t="s">
        <v>235</v>
      </c>
      <c r="B83" t="s">
        <v>25</v>
      </c>
      <c r="C83" t="s">
        <v>168</v>
      </c>
      <c r="D83" t="s">
        <v>17</v>
      </c>
      <c r="E83" t="s">
        <v>236</v>
      </c>
      <c r="F83" t="s">
        <v>117</v>
      </c>
      <c r="G83">
        <v>84000</v>
      </c>
      <c r="H83" s="1">
        <v>45121</v>
      </c>
      <c r="I83">
        <v>2023</v>
      </c>
      <c r="J83" t="s">
        <v>57</v>
      </c>
      <c r="K83">
        <v>7</v>
      </c>
      <c r="L83" t="s">
        <v>21</v>
      </c>
      <c r="M83" t="s">
        <v>22</v>
      </c>
      <c r="N83" t="s">
        <v>31</v>
      </c>
    </row>
    <row r="84" spans="1:14" x14ac:dyDescent="0.3">
      <c r="A84" t="s">
        <v>237</v>
      </c>
      <c r="B84" t="s">
        <v>32</v>
      </c>
      <c r="C84" t="s">
        <v>138</v>
      </c>
      <c r="D84" t="s">
        <v>17</v>
      </c>
      <c r="E84" t="s">
        <v>183</v>
      </c>
      <c r="F84" t="s">
        <v>19</v>
      </c>
      <c r="G84">
        <v>169000</v>
      </c>
      <c r="H84" s="1">
        <v>45554</v>
      </c>
      <c r="I84">
        <v>2024</v>
      </c>
      <c r="J84" t="s">
        <v>46</v>
      </c>
      <c r="K84">
        <v>9</v>
      </c>
      <c r="L84" t="s">
        <v>21</v>
      </c>
      <c r="M84" t="s">
        <v>22</v>
      </c>
      <c r="N84" t="s">
        <v>40</v>
      </c>
    </row>
    <row r="85" spans="1:14" x14ac:dyDescent="0.3">
      <c r="A85" t="s">
        <v>14</v>
      </c>
      <c r="B85" t="s">
        <v>49</v>
      </c>
      <c r="C85" t="s">
        <v>135</v>
      </c>
      <c r="D85" t="s">
        <v>70</v>
      </c>
      <c r="E85" t="s">
        <v>238</v>
      </c>
      <c r="F85" t="s">
        <v>128</v>
      </c>
      <c r="G85">
        <v>6000</v>
      </c>
      <c r="H85" s="1">
        <v>44428</v>
      </c>
      <c r="I85">
        <v>2021</v>
      </c>
      <c r="J85" t="s">
        <v>153</v>
      </c>
      <c r="K85">
        <v>8</v>
      </c>
      <c r="L85" t="s">
        <v>21</v>
      </c>
      <c r="M85" t="s">
        <v>22</v>
      </c>
      <c r="N85" t="s">
        <v>40</v>
      </c>
    </row>
    <row r="86" spans="1:14" x14ac:dyDescent="0.3">
      <c r="A86" t="s">
        <v>239</v>
      </c>
      <c r="B86" t="s">
        <v>15</v>
      </c>
      <c r="C86" t="s">
        <v>53</v>
      </c>
      <c r="D86" t="s">
        <v>111</v>
      </c>
      <c r="E86" t="s">
        <v>240</v>
      </c>
      <c r="F86" t="s">
        <v>19</v>
      </c>
      <c r="G86">
        <v>157000</v>
      </c>
      <c r="H86" s="1">
        <v>44221</v>
      </c>
      <c r="I86">
        <v>2021</v>
      </c>
      <c r="J86" t="s">
        <v>29</v>
      </c>
      <c r="K86">
        <v>1</v>
      </c>
      <c r="L86" t="s">
        <v>21</v>
      </c>
      <c r="M86" t="s">
        <v>22</v>
      </c>
      <c r="N86" t="s">
        <v>23</v>
      </c>
    </row>
    <row r="87" spans="1:14" x14ac:dyDescent="0.3">
      <c r="A87" t="s">
        <v>241</v>
      </c>
      <c r="B87" t="s">
        <v>94</v>
      </c>
      <c r="C87" t="s">
        <v>159</v>
      </c>
      <c r="D87" t="s">
        <v>96</v>
      </c>
      <c r="E87" t="s">
        <v>242</v>
      </c>
      <c r="F87" t="s">
        <v>128</v>
      </c>
      <c r="G87">
        <v>13000</v>
      </c>
      <c r="H87" s="1">
        <v>44870</v>
      </c>
      <c r="I87">
        <v>2022</v>
      </c>
      <c r="J87" t="s">
        <v>72</v>
      </c>
      <c r="K87">
        <v>11</v>
      </c>
      <c r="L87" t="s">
        <v>21</v>
      </c>
      <c r="M87" t="s">
        <v>22</v>
      </c>
      <c r="N87" t="s">
        <v>40</v>
      </c>
    </row>
    <row r="88" spans="1:14" x14ac:dyDescent="0.3">
      <c r="A88" t="s">
        <v>210</v>
      </c>
      <c r="B88" t="s">
        <v>114</v>
      </c>
      <c r="C88" t="s">
        <v>243</v>
      </c>
      <c r="D88" t="s">
        <v>75</v>
      </c>
      <c r="E88" t="s">
        <v>183</v>
      </c>
      <c r="F88" t="s">
        <v>92</v>
      </c>
      <c r="G88">
        <v>9315000</v>
      </c>
      <c r="H88" s="1">
        <v>44833</v>
      </c>
      <c r="I88">
        <v>2022</v>
      </c>
      <c r="J88" t="s">
        <v>46</v>
      </c>
      <c r="K88">
        <v>9</v>
      </c>
      <c r="L88" t="s">
        <v>65</v>
      </c>
      <c r="M88" t="s">
        <v>30</v>
      </c>
      <c r="N88" t="s">
        <v>47</v>
      </c>
    </row>
    <row r="89" spans="1:14" x14ac:dyDescent="0.3">
      <c r="A89" t="s">
        <v>239</v>
      </c>
      <c r="B89" t="s">
        <v>32</v>
      </c>
      <c r="C89" t="s">
        <v>101</v>
      </c>
      <c r="D89" t="s">
        <v>136</v>
      </c>
      <c r="E89" t="s">
        <v>61</v>
      </c>
      <c r="F89" t="s">
        <v>103</v>
      </c>
      <c r="G89">
        <v>5621000</v>
      </c>
      <c r="H89" s="1">
        <v>44490</v>
      </c>
      <c r="I89">
        <v>2021</v>
      </c>
      <c r="J89" t="s">
        <v>89</v>
      </c>
      <c r="K89">
        <v>10</v>
      </c>
      <c r="L89" t="s">
        <v>38</v>
      </c>
      <c r="M89" t="s">
        <v>30</v>
      </c>
      <c r="N89" t="s">
        <v>40</v>
      </c>
    </row>
    <row r="90" spans="1:14" x14ac:dyDescent="0.3">
      <c r="A90" t="s">
        <v>189</v>
      </c>
      <c r="B90" t="s">
        <v>15</v>
      </c>
      <c r="C90" t="s">
        <v>53</v>
      </c>
      <c r="D90" t="s">
        <v>27</v>
      </c>
      <c r="E90" t="s">
        <v>244</v>
      </c>
      <c r="F90" t="s">
        <v>19</v>
      </c>
      <c r="G90">
        <v>1319000</v>
      </c>
      <c r="H90" s="1">
        <v>44799</v>
      </c>
      <c r="I90">
        <v>2022</v>
      </c>
      <c r="J90" t="s">
        <v>153</v>
      </c>
      <c r="K90">
        <v>8</v>
      </c>
      <c r="L90" t="s">
        <v>21</v>
      </c>
      <c r="M90" t="s">
        <v>30</v>
      </c>
      <c r="N90" t="s">
        <v>23</v>
      </c>
    </row>
    <row r="91" spans="1:14" x14ac:dyDescent="0.3">
      <c r="A91" t="s">
        <v>120</v>
      </c>
      <c r="B91" t="s">
        <v>81</v>
      </c>
      <c r="C91" t="s">
        <v>130</v>
      </c>
      <c r="D91" t="s">
        <v>111</v>
      </c>
      <c r="E91" t="s">
        <v>28</v>
      </c>
      <c r="F91" t="s">
        <v>188</v>
      </c>
      <c r="G91">
        <v>285000</v>
      </c>
      <c r="H91" s="1">
        <v>44510</v>
      </c>
      <c r="I91">
        <v>2021</v>
      </c>
      <c r="J91" t="s">
        <v>72</v>
      </c>
      <c r="K91">
        <v>11</v>
      </c>
      <c r="L91" t="s">
        <v>38</v>
      </c>
      <c r="M91" t="s">
        <v>22</v>
      </c>
      <c r="N91" t="s">
        <v>84</v>
      </c>
    </row>
    <row r="92" spans="1:14" x14ac:dyDescent="0.3">
      <c r="A92" t="s">
        <v>235</v>
      </c>
      <c r="B92" t="s">
        <v>186</v>
      </c>
      <c r="C92" t="s">
        <v>149</v>
      </c>
      <c r="D92" t="s">
        <v>70</v>
      </c>
      <c r="E92" t="s">
        <v>245</v>
      </c>
      <c r="F92" t="s">
        <v>117</v>
      </c>
      <c r="G92">
        <v>26000</v>
      </c>
      <c r="H92" s="1">
        <v>44126</v>
      </c>
      <c r="I92">
        <v>2020</v>
      </c>
      <c r="J92" t="s">
        <v>89</v>
      </c>
      <c r="K92">
        <v>10</v>
      </c>
      <c r="L92" t="s">
        <v>21</v>
      </c>
      <c r="M92" t="s">
        <v>22</v>
      </c>
      <c r="N92" t="s">
        <v>31</v>
      </c>
    </row>
    <row r="93" spans="1:14" x14ac:dyDescent="0.3">
      <c r="A93" t="s">
        <v>167</v>
      </c>
      <c r="B93" t="s">
        <v>42</v>
      </c>
      <c r="C93" t="s">
        <v>43</v>
      </c>
      <c r="D93" t="s">
        <v>96</v>
      </c>
      <c r="E93" t="s">
        <v>246</v>
      </c>
      <c r="F93" t="s">
        <v>103</v>
      </c>
      <c r="G93">
        <v>6900000</v>
      </c>
      <c r="H93" s="1">
        <v>44645</v>
      </c>
      <c r="I93">
        <v>2022</v>
      </c>
      <c r="J93" t="s">
        <v>37</v>
      </c>
      <c r="K93">
        <v>3</v>
      </c>
      <c r="L93" t="s">
        <v>38</v>
      </c>
      <c r="M93" t="s">
        <v>30</v>
      </c>
      <c r="N93" t="s">
        <v>47</v>
      </c>
    </row>
    <row r="94" spans="1:14" x14ac:dyDescent="0.3">
      <c r="A94" t="s">
        <v>214</v>
      </c>
      <c r="B94" t="s">
        <v>49</v>
      </c>
      <c r="C94" t="s">
        <v>50</v>
      </c>
      <c r="D94" t="s">
        <v>70</v>
      </c>
      <c r="E94" t="s">
        <v>247</v>
      </c>
      <c r="F94" t="s">
        <v>64</v>
      </c>
      <c r="G94">
        <v>372329000</v>
      </c>
      <c r="H94" s="1">
        <v>43904</v>
      </c>
      <c r="I94">
        <v>2020</v>
      </c>
      <c r="J94" t="s">
        <v>37</v>
      </c>
      <c r="K94">
        <v>3</v>
      </c>
      <c r="L94" t="s">
        <v>65</v>
      </c>
      <c r="M94" t="s">
        <v>66</v>
      </c>
      <c r="N94" t="s">
        <v>40</v>
      </c>
    </row>
    <row r="95" spans="1:14" x14ac:dyDescent="0.3">
      <c r="A95" t="s">
        <v>151</v>
      </c>
      <c r="B95" t="s">
        <v>25</v>
      </c>
      <c r="C95" t="s">
        <v>171</v>
      </c>
      <c r="D95" t="s">
        <v>136</v>
      </c>
      <c r="E95" t="s">
        <v>248</v>
      </c>
      <c r="F95" t="s">
        <v>188</v>
      </c>
      <c r="G95">
        <v>396000</v>
      </c>
      <c r="H95" s="1">
        <v>45388</v>
      </c>
      <c r="I95">
        <v>2024</v>
      </c>
      <c r="J95" t="s">
        <v>20</v>
      </c>
      <c r="K95">
        <v>4</v>
      </c>
      <c r="L95" t="s">
        <v>38</v>
      </c>
      <c r="M95" t="s">
        <v>22</v>
      </c>
      <c r="N95" t="s">
        <v>31</v>
      </c>
    </row>
    <row r="96" spans="1:14" x14ac:dyDescent="0.3">
      <c r="A96" t="s">
        <v>249</v>
      </c>
      <c r="B96" t="s">
        <v>81</v>
      </c>
      <c r="C96" t="s">
        <v>250</v>
      </c>
      <c r="D96" t="s">
        <v>96</v>
      </c>
      <c r="E96" t="s">
        <v>97</v>
      </c>
      <c r="F96" t="s">
        <v>132</v>
      </c>
      <c r="G96">
        <v>161346000</v>
      </c>
      <c r="H96" s="1">
        <v>44431</v>
      </c>
      <c r="I96">
        <v>2021</v>
      </c>
      <c r="J96" t="s">
        <v>153</v>
      </c>
      <c r="K96">
        <v>8</v>
      </c>
      <c r="L96" t="s">
        <v>65</v>
      </c>
      <c r="M96" t="s">
        <v>66</v>
      </c>
      <c r="N96" t="s">
        <v>84</v>
      </c>
    </row>
    <row r="97" spans="1:14" x14ac:dyDescent="0.3">
      <c r="A97" t="s">
        <v>251</v>
      </c>
      <c r="B97" t="s">
        <v>68</v>
      </c>
      <c r="C97" t="s">
        <v>149</v>
      </c>
      <c r="D97" t="s">
        <v>54</v>
      </c>
      <c r="E97" t="s">
        <v>252</v>
      </c>
      <c r="F97" t="s">
        <v>19</v>
      </c>
      <c r="G97">
        <v>309000</v>
      </c>
      <c r="H97" s="1">
        <v>43992</v>
      </c>
      <c r="I97">
        <v>2020</v>
      </c>
      <c r="J97" t="s">
        <v>141</v>
      </c>
      <c r="K97">
        <v>6</v>
      </c>
      <c r="L97" t="s">
        <v>21</v>
      </c>
      <c r="M97" t="s">
        <v>22</v>
      </c>
      <c r="N97" t="s">
        <v>31</v>
      </c>
    </row>
    <row r="98" spans="1:14" x14ac:dyDescent="0.3">
      <c r="A98" t="s">
        <v>189</v>
      </c>
      <c r="B98" t="s">
        <v>126</v>
      </c>
      <c r="C98" t="s">
        <v>159</v>
      </c>
      <c r="D98" t="s">
        <v>44</v>
      </c>
      <c r="E98" t="s">
        <v>253</v>
      </c>
      <c r="F98" t="s">
        <v>103</v>
      </c>
      <c r="G98">
        <v>4119000</v>
      </c>
      <c r="H98" s="1">
        <v>44351</v>
      </c>
      <c r="I98">
        <v>2021</v>
      </c>
      <c r="J98" t="s">
        <v>141</v>
      </c>
      <c r="K98">
        <v>6</v>
      </c>
      <c r="L98" t="s">
        <v>38</v>
      </c>
      <c r="M98" t="s">
        <v>30</v>
      </c>
      <c r="N98" t="s">
        <v>40</v>
      </c>
    </row>
    <row r="99" spans="1:14" x14ac:dyDescent="0.3">
      <c r="A99" t="s">
        <v>221</v>
      </c>
      <c r="B99" t="s">
        <v>94</v>
      </c>
      <c r="C99" t="s">
        <v>146</v>
      </c>
      <c r="D99" t="s">
        <v>111</v>
      </c>
      <c r="E99" t="s">
        <v>61</v>
      </c>
      <c r="F99" t="s">
        <v>19</v>
      </c>
      <c r="G99">
        <v>242000</v>
      </c>
      <c r="H99" s="1">
        <v>44735</v>
      </c>
      <c r="I99">
        <v>2022</v>
      </c>
      <c r="J99" t="s">
        <v>141</v>
      </c>
      <c r="K99">
        <v>6</v>
      </c>
      <c r="L99" t="s">
        <v>21</v>
      </c>
      <c r="M99" t="s">
        <v>22</v>
      </c>
      <c r="N99" t="s">
        <v>40</v>
      </c>
    </row>
    <row r="100" spans="1:14" x14ac:dyDescent="0.3">
      <c r="A100" t="s">
        <v>249</v>
      </c>
      <c r="B100" t="s">
        <v>49</v>
      </c>
      <c r="C100" t="s">
        <v>225</v>
      </c>
      <c r="D100" t="s">
        <v>34</v>
      </c>
      <c r="E100" t="s">
        <v>61</v>
      </c>
      <c r="F100" t="s">
        <v>103</v>
      </c>
      <c r="G100">
        <v>1071000</v>
      </c>
      <c r="H100" s="1">
        <v>44449</v>
      </c>
      <c r="I100">
        <v>2021</v>
      </c>
      <c r="J100" t="s">
        <v>46</v>
      </c>
      <c r="K100">
        <v>9</v>
      </c>
      <c r="L100" t="s">
        <v>38</v>
      </c>
      <c r="M100" t="s">
        <v>30</v>
      </c>
      <c r="N100" t="s">
        <v>40</v>
      </c>
    </row>
    <row r="101" spans="1:14" x14ac:dyDescent="0.3">
      <c r="A101" t="s">
        <v>239</v>
      </c>
      <c r="B101" t="s">
        <v>68</v>
      </c>
      <c r="C101" t="s">
        <v>149</v>
      </c>
      <c r="D101" t="s">
        <v>96</v>
      </c>
      <c r="E101" t="s">
        <v>157</v>
      </c>
      <c r="F101" t="s">
        <v>103</v>
      </c>
      <c r="G101">
        <v>1339000</v>
      </c>
      <c r="H101" s="1">
        <v>45263</v>
      </c>
      <c r="I101">
        <v>2023</v>
      </c>
      <c r="J101" t="s">
        <v>99</v>
      </c>
      <c r="K101">
        <v>12</v>
      </c>
      <c r="L101" t="s">
        <v>38</v>
      </c>
      <c r="M101" t="s">
        <v>30</v>
      </c>
      <c r="N101" t="s">
        <v>31</v>
      </c>
    </row>
    <row r="102" spans="1:14" x14ac:dyDescent="0.3">
      <c r="A102" t="s">
        <v>254</v>
      </c>
      <c r="B102" t="s">
        <v>126</v>
      </c>
      <c r="C102" t="s">
        <v>127</v>
      </c>
      <c r="D102" t="s">
        <v>27</v>
      </c>
      <c r="E102" t="s">
        <v>255</v>
      </c>
      <c r="F102" t="s">
        <v>128</v>
      </c>
      <c r="G102">
        <v>5000</v>
      </c>
      <c r="H102" s="1">
        <v>45357</v>
      </c>
      <c r="I102">
        <v>2024</v>
      </c>
      <c r="J102" t="s">
        <v>37</v>
      </c>
      <c r="K102">
        <v>3</v>
      </c>
      <c r="L102" t="s">
        <v>21</v>
      </c>
      <c r="M102" t="s">
        <v>22</v>
      </c>
      <c r="N102" t="s">
        <v>40</v>
      </c>
    </row>
    <row r="103" spans="1:14" x14ac:dyDescent="0.3">
      <c r="A103" t="s">
        <v>134</v>
      </c>
      <c r="B103" t="s">
        <v>86</v>
      </c>
      <c r="C103" t="s">
        <v>87</v>
      </c>
      <c r="D103" t="s">
        <v>44</v>
      </c>
      <c r="E103" t="s">
        <v>256</v>
      </c>
      <c r="F103" t="s">
        <v>103</v>
      </c>
      <c r="G103">
        <v>5604000</v>
      </c>
      <c r="H103" s="1">
        <v>45219</v>
      </c>
      <c r="I103">
        <v>2023</v>
      </c>
      <c r="J103" t="s">
        <v>89</v>
      </c>
      <c r="K103">
        <v>10</v>
      </c>
      <c r="L103" t="s">
        <v>38</v>
      </c>
      <c r="M103" t="s">
        <v>30</v>
      </c>
      <c r="N103" t="s">
        <v>47</v>
      </c>
    </row>
    <row r="104" spans="1:14" x14ac:dyDescent="0.3">
      <c r="A104" t="s">
        <v>257</v>
      </c>
      <c r="B104" t="s">
        <v>49</v>
      </c>
      <c r="C104" t="s">
        <v>50</v>
      </c>
      <c r="D104" t="s">
        <v>27</v>
      </c>
      <c r="E104" t="s">
        <v>258</v>
      </c>
      <c r="F104" t="s">
        <v>19</v>
      </c>
      <c r="G104">
        <v>159000</v>
      </c>
      <c r="H104" s="1">
        <v>44733</v>
      </c>
      <c r="I104">
        <v>2022</v>
      </c>
      <c r="J104" t="s">
        <v>141</v>
      </c>
      <c r="K104">
        <v>6</v>
      </c>
      <c r="L104" t="s">
        <v>21</v>
      </c>
      <c r="M104" t="s">
        <v>22</v>
      </c>
      <c r="N104" t="s">
        <v>40</v>
      </c>
    </row>
    <row r="105" spans="1:14" x14ac:dyDescent="0.3">
      <c r="A105" t="s">
        <v>259</v>
      </c>
      <c r="B105" t="s">
        <v>94</v>
      </c>
      <c r="C105" t="s">
        <v>159</v>
      </c>
      <c r="D105" t="s">
        <v>136</v>
      </c>
      <c r="E105" t="s">
        <v>260</v>
      </c>
      <c r="F105" t="s">
        <v>19</v>
      </c>
      <c r="G105">
        <v>326000</v>
      </c>
      <c r="H105" s="1">
        <v>44101</v>
      </c>
      <c r="I105">
        <v>2020</v>
      </c>
      <c r="J105" t="s">
        <v>46</v>
      </c>
      <c r="K105">
        <v>9</v>
      </c>
      <c r="L105" t="s">
        <v>21</v>
      </c>
      <c r="M105" t="s">
        <v>22</v>
      </c>
      <c r="N105" t="s">
        <v>40</v>
      </c>
    </row>
    <row r="106" spans="1:14" x14ac:dyDescent="0.3">
      <c r="A106" t="s">
        <v>261</v>
      </c>
      <c r="B106" t="s">
        <v>114</v>
      </c>
      <c r="C106" t="s">
        <v>156</v>
      </c>
      <c r="D106" t="s">
        <v>34</v>
      </c>
      <c r="E106" t="s">
        <v>262</v>
      </c>
      <c r="F106" t="s">
        <v>128</v>
      </c>
      <c r="G106">
        <v>76000</v>
      </c>
      <c r="H106" s="1">
        <v>45764</v>
      </c>
      <c r="I106">
        <v>2025</v>
      </c>
      <c r="J106" t="s">
        <v>20</v>
      </c>
      <c r="K106">
        <v>4</v>
      </c>
      <c r="L106" t="s">
        <v>21</v>
      </c>
      <c r="M106" t="s">
        <v>22</v>
      </c>
      <c r="N106" t="s">
        <v>47</v>
      </c>
    </row>
    <row r="107" spans="1:14" x14ac:dyDescent="0.3">
      <c r="A107" t="s">
        <v>184</v>
      </c>
      <c r="B107" t="s">
        <v>42</v>
      </c>
      <c r="C107" t="s">
        <v>182</v>
      </c>
      <c r="D107" t="s">
        <v>54</v>
      </c>
      <c r="E107" t="s">
        <v>263</v>
      </c>
      <c r="F107" t="s">
        <v>132</v>
      </c>
      <c r="G107">
        <v>39284000</v>
      </c>
      <c r="H107" s="1">
        <v>44293</v>
      </c>
      <c r="I107">
        <v>2021</v>
      </c>
      <c r="J107" t="s">
        <v>20</v>
      </c>
      <c r="K107">
        <v>4</v>
      </c>
      <c r="L107" t="s">
        <v>65</v>
      </c>
      <c r="M107" t="s">
        <v>39</v>
      </c>
      <c r="N107" t="s">
        <v>47</v>
      </c>
    </row>
    <row r="108" spans="1:14" x14ac:dyDescent="0.3">
      <c r="A108" t="s">
        <v>122</v>
      </c>
      <c r="B108" t="s">
        <v>186</v>
      </c>
      <c r="C108" t="s">
        <v>60</v>
      </c>
      <c r="D108" t="s">
        <v>27</v>
      </c>
      <c r="E108" t="s">
        <v>264</v>
      </c>
      <c r="F108" t="s">
        <v>19</v>
      </c>
      <c r="G108">
        <v>227000</v>
      </c>
      <c r="H108" s="1">
        <v>44084</v>
      </c>
      <c r="I108">
        <v>2020</v>
      </c>
      <c r="J108" t="s">
        <v>46</v>
      </c>
      <c r="K108">
        <v>9</v>
      </c>
      <c r="L108" t="s">
        <v>21</v>
      </c>
      <c r="M108" t="s">
        <v>22</v>
      </c>
      <c r="N108" t="s">
        <v>31</v>
      </c>
    </row>
    <row r="109" spans="1:14" x14ac:dyDescent="0.3">
      <c r="A109" t="s">
        <v>118</v>
      </c>
      <c r="B109" t="s">
        <v>126</v>
      </c>
      <c r="C109" t="s">
        <v>265</v>
      </c>
      <c r="D109" t="s">
        <v>96</v>
      </c>
      <c r="E109" t="s">
        <v>266</v>
      </c>
      <c r="F109" t="s">
        <v>19</v>
      </c>
      <c r="G109">
        <v>812000</v>
      </c>
      <c r="H109" s="1">
        <v>44309</v>
      </c>
      <c r="I109">
        <v>2021</v>
      </c>
      <c r="J109" t="s">
        <v>20</v>
      </c>
      <c r="K109">
        <v>4</v>
      </c>
      <c r="L109" t="s">
        <v>21</v>
      </c>
      <c r="M109" t="s">
        <v>22</v>
      </c>
      <c r="N109" t="s">
        <v>40</v>
      </c>
    </row>
    <row r="110" spans="1:14" x14ac:dyDescent="0.3">
      <c r="A110" t="s">
        <v>267</v>
      </c>
      <c r="B110" t="s">
        <v>15</v>
      </c>
      <c r="C110" t="s">
        <v>74</v>
      </c>
      <c r="D110" t="s">
        <v>70</v>
      </c>
      <c r="E110" t="s">
        <v>268</v>
      </c>
      <c r="F110" t="s">
        <v>128</v>
      </c>
      <c r="G110">
        <v>10000</v>
      </c>
      <c r="H110" s="1">
        <v>44449</v>
      </c>
      <c r="I110">
        <v>2021</v>
      </c>
      <c r="J110" t="s">
        <v>46</v>
      </c>
      <c r="K110">
        <v>9</v>
      </c>
      <c r="L110" t="s">
        <v>21</v>
      </c>
      <c r="M110" t="s">
        <v>22</v>
      </c>
      <c r="N110" t="s">
        <v>23</v>
      </c>
    </row>
    <row r="111" spans="1:14" x14ac:dyDescent="0.3">
      <c r="A111" t="s">
        <v>269</v>
      </c>
      <c r="B111" t="s">
        <v>42</v>
      </c>
      <c r="C111" t="s">
        <v>182</v>
      </c>
      <c r="D111" t="s">
        <v>17</v>
      </c>
      <c r="E111" t="s">
        <v>270</v>
      </c>
      <c r="F111" t="s">
        <v>19</v>
      </c>
      <c r="G111">
        <v>66000</v>
      </c>
      <c r="H111" s="1">
        <v>44931</v>
      </c>
      <c r="I111">
        <v>2023</v>
      </c>
      <c r="J111" t="s">
        <v>29</v>
      </c>
      <c r="K111">
        <v>1</v>
      </c>
      <c r="L111" t="s">
        <v>21</v>
      </c>
      <c r="M111" t="s">
        <v>22</v>
      </c>
      <c r="N111" t="s">
        <v>47</v>
      </c>
    </row>
    <row r="112" spans="1:14" x14ac:dyDescent="0.3">
      <c r="A112" t="s">
        <v>204</v>
      </c>
      <c r="B112" t="s">
        <v>49</v>
      </c>
      <c r="C112" t="s">
        <v>50</v>
      </c>
      <c r="D112" t="s">
        <v>111</v>
      </c>
      <c r="E112" t="s">
        <v>271</v>
      </c>
      <c r="F112" t="s">
        <v>56</v>
      </c>
      <c r="G112">
        <v>195000</v>
      </c>
      <c r="H112" s="1">
        <v>45351</v>
      </c>
      <c r="I112">
        <v>2024</v>
      </c>
      <c r="J112" t="s">
        <v>108</v>
      </c>
      <c r="K112">
        <v>2</v>
      </c>
      <c r="L112" t="s">
        <v>38</v>
      </c>
      <c r="M112" t="s">
        <v>22</v>
      </c>
      <c r="N112" t="s">
        <v>40</v>
      </c>
    </row>
    <row r="113" spans="1:14" x14ac:dyDescent="0.3">
      <c r="A113" t="s">
        <v>272</v>
      </c>
      <c r="B113" t="s">
        <v>94</v>
      </c>
      <c r="C113" t="s">
        <v>95</v>
      </c>
      <c r="D113" t="s">
        <v>96</v>
      </c>
      <c r="E113" t="s">
        <v>28</v>
      </c>
      <c r="F113" t="s">
        <v>19</v>
      </c>
      <c r="G113">
        <v>91000</v>
      </c>
      <c r="H113" s="1">
        <v>44741</v>
      </c>
      <c r="I113">
        <v>2022</v>
      </c>
      <c r="J113" t="s">
        <v>141</v>
      </c>
      <c r="K113">
        <v>6</v>
      </c>
      <c r="L113" t="s">
        <v>21</v>
      </c>
      <c r="M113" t="s">
        <v>22</v>
      </c>
      <c r="N113" t="s">
        <v>40</v>
      </c>
    </row>
    <row r="114" spans="1:14" x14ac:dyDescent="0.3">
      <c r="A114" t="s">
        <v>216</v>
      </c>
      <c r="B114" t="s">
        <v>49</v>
      </c>
      <c r="C114" t="s">
        <v>225</v>
      </c>
      <c r="D114" t="s">
        <v>111</v>
      </c>
      <c r="E114" t="s">
        <v>121</v>
      </c>
      <c r="F114" t="s">
        <v>128</v>
      </c>
      <c r="G114">
        <v>81000</v>
      </c>
      <c r="H114" s="1">
        <v>45151</v>
      </c>
      <c r="I114">
        <v>2023</v>
      </c>
      <c r="J114" t="s">
        <v>153</v>
      </c>
      <c r="K114">
        <v>8</v>
      </c>
      <c r="L114" t="s">
        <v>21</v>
      </c>
      <c r="M114" t="s">
        <v>22</v>
      </c>
      <c r="N114" t="s">
        <v>40</v>
      </c>
    </row>
    <row r="115" spans="1:14" x14ac:dyDescent="0.3">
      <c r="A115" t="s">
        <v>201</v>
      </c>
      <c r="B115" t="s">
        <v>186</v>
      </c>
      <c r="C115" t="s">
        <v>60</v>
      </c>
      <c r="D115" t="s">
        <v>17</v>
      </c>
      <c r="E115" t="s">
        <v>273</v>
      </c>
      <c r="F115" t="s">
        <v>36</v>
      </c>
      <c r="G115">
        <v>46994000</v>
      </c>
      <c r="H115" s="1">
        <v>45145</v>
      </c>
      <c r="I115">
        <v>2023</v>
      </c>
      <c r="J115" t="s">
        <v>153</v>
      </c>
      <c r="K115">
        <v>8</v>
      </c>
      <c r="L115" t="s">
        <v>38</v>
      </c>
      <c r="M115" t="s">
        <v>39</v>
      </c>
      <c r="N115" t="s">
        <v>31</v>
      </c>
    </row>
    <row r="116" spans="1:14" x14ac:dyDescent="0.3">
      <c r="A116" t="s">
        <v>158</v>
      </c>
      <c r="B116" t="s">
        <v>59</v>
      </c>
      <c r="C116" t="s">
        <v>60</v>
      </c>
      <c r="D116" t="s">
        <v>44</v>
      </c>
      <c r="E116" t="s">
        <v>18</v>
      </c>
      <c r="F116" t="s">
        <v>19</v>
      </c>
      <c r="G116">
        <v>517000</v>
      </c>
      <c r="H116" s="1">
        <v>45398</v>
      </c>
      <c r="I116">
        <v>2024</v>
      </c>
      <c r="J116" t="s">
        <v>20</v>
      </c>
      <c r="K116">
        <v>4</v>
      </c>
      <c r="L116" t="s">
        <v>21</v>
      </c>
      <c r="M116" t="s">
        <v>22</v>
      </c>
      <c r="N116" t="s">
        <v>31</v>
      </c>
    </row>
    <row r="117" spans="1:14" x14ac:dyDescent="0.3">
      <c r="A117" t="s">
        <v>274</v>
      </c>
      <c r="B117" t="s">
        <v>86</v>
      </c>
      <c r="C117" t="s">
        <v>87</v>
      </c>
      <c r="D117" t="s">
        <v>75</v>
      </c>
      <c r="E117" t="s">
        <v>61</v>
      </c>
      <c r="F117" t="s">
        <v>117</v>
      </c>
      <c r="G117">
        <v>149000</v>
      </c>
      <c r="H117" s="1">
        <v>45589</v>
      </c>
      <c r="I117">
        <v>2024</v>
      </c>
      <c r="J117" t="s">
        <v>89</v>
      </c>
      <c r="K117">
        <v>10</v>
      </c>
      <c r="L117" t="s">
        <v>21</v>
      </c>
      <c r="M117" t="s">
        <v>22</v>
      </c>
      <c r="N117" t="s">
        <v>47</v>
      </c>
    </row>
    <row r="118" spans="1:14" x14ac:dyDescent="0.3">
      <c r="A118" t="s">
        <v>275</v>
      </c>
      <c r="B118" t="s">
        <v>186</v>
      </c>
      <c r="C118" t="s">
        <v>187</v>
      </c>
      <c r="D118" t="s">
        <v>54</v>
      </c>
      <c r="E118" t="s">
        <v>258</v>
      </c>
      <c r="F118" t="s">
        <v>117</v>
      </c>
      <c r="G118">
        <v>127000</v>
      </c>
      <c r="H118" s="1">
        <v>45448</v>
      </c>
      <c r="I118">
        <v>2024</v>
      </c>
      <c r="J118" t="s">
        <v>141</v>
      </c>
      <c r="K118">
        <v>6</v>
      </c>
      <c r="L118" t="s">
        <v>21</v>
      </c>
      <c r="M118" t="s">
        <v>22</v>
      </c>
      <c r="N118" t="s">
        <v>31</v>
      </c>
    </row>
    <row r="119" spans="1:14" x14ac:dyDescent="0.3">
      <c r="A119" t="s">
        <v>276</v>
      </c>
      <c r="B119" t="s">
        <v>105</v>
      </c>
      <c r="C119" t="s">
        <v>106</v>
      </c>
      <c r="D119" t="s">
        <v>27</v>
      </c>
      <c r="E119" t="s">
        <v>211</v>
      </c>
      <c r="F119" t="s">
        <v>19</v>
      </c>
      <c r="G119">
        <v>100000</v>
      </c>
      <c r="H119" s="1">
        <v>44693</v>
      </c>
      <c r="I119">
        <v>2022</v>
      </c>
      <c r="J119" t="s">
        <v>77</v>
      </c>
      <c r="K119">
        <v>5</v>
      </c>
      <c r="L119" t="s">
        <v>21</v>
      </c>
      <c r="M119" t="s">
        <v>22</v>
      </c>
      <c r="N119" t="s">
        <v>23</v>
      </c>
    </row>
    <row r="120" spans="1:14" x14ac:dyDescent="0.3">
      <c r="A120" t="s">
        <v>277</v>
      </c>
      <c r="B120" t="s">
        <v>32</v>
      </c>
      <c r="C120" t="s">
        <v>101</v>
      </c>
      <c r="D120" t="s">
        <v>17</v>
      </c>
      <c r="E120" t="s">
        <v>278</v>
      </c>
      <c r="F120" t="s">
        <v>103</v>
      </c>
      <c r="G120">
        <v>11213000</v>
      </c>
      <c r="H120" s="1">
        <v>44284</v>
      </c>
      <c r="I120">
        <v>2021</v>
      </c>
      <c r="J120" t="s">
        <v>37</v>
      </c>
      <c r="K120">
        <v>3</v>
      </c>
      <c r="L120" t="s">
        <v>38</v>
      </c>
      <c r="M120" t="s">
        <v>39</v>
      </c>
      <c r="N120" t="s">
        <v>40</v>
      </c>
    </row>
    <row r="121" spans="1:14" x14ac:dyDescent="0.3">
      <c r="A121" t="s">
        <v>269</v>
      </c>
      <c r="B121" t="s">
        <v>42</v>
      </c>
      <c r="C121" t="s">
        <v>205</v>
      </c>
      <c r="D121" t="s">
        <v>27</v>
      </c>
      <c r="E121" t="s">
        <v>279</v>
      </c>
      <c r="F121" t="s">
        <v>19</v>
      </c>
      <c r="G121">
        <v>366000</v>
      </c>
      <c r="H121" s="1">
        <v>44811</v>
      </c>
      <c r="I121">
        <v>2022</v>
      </c>
      <c r="J121" t="s">
        <v>46</v>
      </c>
      <c r="K121">
        <v>9</v>
      </c>
      <c r="L121" t="s">
        <v>21</v>
      </c>
      <c r="M121" t="s">
        <v>22</v>
      </c>
      <c r="N121" t="s">
        <v>47</v>
      </c>
    </row>
    <row r="122" spans="1:14" x14ac:dyDescent="0.3">
      <c r="A122" t="s">
        <v>58</v>
      </c>
      <c r="B122" t="s">
        <v>186</v>
      </c>
      <c r="C122" t="s">
        <v>187</v>
      </c>
      <c r="D122" t="s">
        <v>96</v>
      </c>
      <c r="E122" t="s">
        <v>200</v>
      </c>
      <c r="F122" t="s">
        <v>103</v>
      </c>
      <c r="G122">
        <v>8905000</v>
      </c>
      <c r="H122" s="1">
        <v>43965</v>
      </c>
      <c r="I122">
        <v>2020</v>
      </c>
      <c r="J122" t="s">
        <v>77</v>
      </c>
      <c r="K122">
        <v>5</v>
      </c>
      <c r="L122" t="s">
        <v>38</v>
      </c>
      <c r="M122" t="s">
        <v>30</v>
      </c>
      <c r="N122" t="s">
        <v>31</v>
      </c>
    </row>
    <row r="123" spans="1:14" x14ac:dyDescent="0.3">
      <c r="A123" t="s">
        <v>267</v>
      </c>
      <c r="B123" t="s">
        <v>126</v>
      </c>
      <c r="C123" t="s">
        <v>127</v>
      </c>
      <c r="D123" t="s">
        <v>34</v>
      </c>
      <c r="E123" t="s">
        <v>280</v>
      </c>
      <c r="F123" t="s">
        <v>103</v>
      </c>
      <c r="G123">
        <v>11321000</v>
      </c>
      <c r="H123" s="1">
        <v>45070</v>
      </c>
      <c r="I123">
        <v>2023</v>
      </c>
      <c r="J123" t="s">
        <v>77</v>
      </c>
      <c r="K123">
        <v>5</v>
      </c>
      <c r="L123" t="s">
        <v>38</v>
      </c>
      <c r="M123" t="s">
        <v>39</v>
      </c>
      <c r="N123" t="s">
        <v>40</v>
      </c>
    </row>
    <row r="124" spans="1:14" x14ac:dyDescent="0.3">
      <c r="A124" t="s">
        <v>281</v>
      </c>
      <c r="B124" t="s">
        <v>15</v>
      </c>
      <c r="C124" t="s">
        <v>53</v>
      </c>
      <c r="D124" t="s">
        <v>96</v>
      </c>
      <c r="E124" t="s">
        <v>206</v>
      </c>
      <c r="F124" t="s">
        <v>132</v>
      </c>
      <c r="G124">
        <v>47319000</v>
      </c>
      <c r="H124" s="1">
        <v>44647</v>
      </c>
      <c r="I124">
        <v>2022</v>
      </c>
      <c r="J124" t="s">
        <v>37</v>
      </c>
      <c r="K124">
        <v>3</v>
      </c>
      <c r="L124" t="s">
        <v>65</v>
      </c>
      <c r="M124" t="s">
        <v>39</v>
      </c>
      <c r="N124" t="s">
        <v>23</v>
      </c>
    </row>
    <row r="125" spans="1:14" x14ac:dyDescent="0.3">
      <c r="A125" t="s">
        <v>142</v>
      </c>
      <c r="B125" t="s">
        <v>86</v>
      </c>
      <c r="C125" t="s">
        <v>87</v>
      </c>
      <c r="D125" t="s">
        <v>70</v>
      </c>
      <c r="E125" t="s">
        <v>112</v>
      </c>
      <c r="F125" t="s">
        <v>19</v>
      </c>
      <c r="G125">
        <v>75000</v>
      </c>
      <c r="H125" s="1">
        <v>45534</v>
      </c>
      <c r="I125">
        <v>2024</v>
      </c>
      <c r="J125" t="s">
        <v>153</v>
      </c>
      <c r="K125">
        <v>8</v>
      </c>
      <c r="L125" t="s">
        <v>21</v>
      </c>
      <c r="M125" t="s">
        <v>22</v>
      </c>
      <c r="N125" t="s">
        <v>47</v>
      </c>
    </row>
    <row r="126" spans="1:14" x14ac:dyDescent="0.3">
      <c r="A126" t="s">
        <v>257</v>
      </c>
      <c r="B126" t="s">
        <v>25</v>
      </c>
      <c r="C126" t="s">
        <v>26</v>
      </c>
      <c r="D126" t="s">
        <v>96</v>
      </c>
      <c r="E126" t="s">
        <v>258</v>
      </c>
      <c r="F126" t="s">
        <v>132</v>
      </c>
      <c r="G126">
        <v>37077000</v>
      </c>
      <c r="H126" s="1">
        <v>44970</v>
      </c>
      <c r="I126">
        <v>2023</v>
      </c>
      <c r="J126" t="s">
        <v>108</v>
      </c>
      <c r="K126">
        <v>2</v>
      </c>
      <c r="L126" t="s">
        <v>65</v>
      </c>
      <c r="M126" t="s">
        <v>39</v>
      </c>
      <c r="N126" t="s">
        <v>31</v>
      </c>
    </row>
    <row r="127" spans="1:14" x14ac:dyDescent="0.3">
      <c r="A127" t="s">
        <v>282</v>
      </c>
      <c r="B127" t="s">
        <v>68</v>
      </c>
      <c r="C127" t="s">
        <v>69</v>
      </c>
      <c r="D127" t="s">
        <v>136</v>
      </c>
      <c r="E127" t="s">
        <v>61</v>
      </c>
      <c r="F127" t="s">
        <v>64</v>
      </c>
      <c r="G127">
        <v>154344000</v>
      </c>
      <c r="H127" s="1">
        <v>45307</v>
      </c>
      <c r="I127">
        <v>2024</v>
      </c>
      <c r="J127" t="s">
        <v>29</v>
      </c>
      <c r="K127">
        <v>1</v>
      </c>
      <c r="L127" t="s">
        <v>65</v>
      </c>
      <c r="M127" t="s">
        <v>66</v>
      </c>
      <c r="N127" t="s">
        <v>31</v>
      </c>
    </row>
    <row r="128" spans="1:14" x14ac:dyDescent="0.3">
      <c r="A128" t="s">
        <v>237</v>
      </c>
      <c r="B128" t="s">
        <v>126</v>
      </c>
      <c r="C128" t="s">
        <v>127</v>
      </c>
      <c r="D128" t="s">
        <v>44</v>
      </c>
      <c r="E128" t="s">
        <v>28</v>
      </c>
      <c r="F128" t="s">
        <v>19</v>
      </c>
      <c r="G128">
        <v>1022000</v>
      </c>
      <c r="H128" s="1">
        <v>44818</v>
      </c>
      <c r="I128">
        <v>2022</v>
      </c>
      <c r="J128" t="s">
        <v>46</v>
      </c>
      <c r="K128">
        <v>9</v>
      </c>
      <c r="L128" t="s">
        <v>21</v>
      </c>
      <c r="M128" t="s">
        <v>30</v>
      </c>
      <c r="N128" t="s">
        <v>40</v>
      </c>
    </row>
    <row r="129" spans="1:14" x14ac:dyDescent="0.3">
      <c r="A129" t="s">
        <v>185</v>
      </c>
      <c r="B129" t="s">
        <v>86</v>
      </c>
      <c r="C129" t="s">
        <v>283</v>
      </c>
      <c r="D129" t="s">
        <v>34</v>
      </c>
      <c r="E129" t="s">
        <v>284</v>
      </c>
      <c r="F129" t="s">
        <v>103</v>
      </c>
      <c r="G129">
        <v>10287000</v>
      </c>
      <c r="H129" s="1">
        <v>45484</v>
      </c>
      <c r="I129">
        <v>2024</v>
      </c>
      <c r="J129" t="s">
        <v>57</v>
      </c>
      <c r="K129">
        <v>7</v>
      </c>
      <c r="L129" t="s">
        <v>38</v>
      </c>
      <c r="M129" t="s">
        <v>39</v>
      </c>
      <c r="N129" t="s">
        <v>47</v>
      </c>
    </row>
    <row r="130" spans="1:14" x14ac:dyDescent="0.3">
      <c r="A130" t="s">
        <v>285</v>
      </c>
      <c r="B130" t="s">
        <v>49</v>
      </c>
      <c r="C130" t="s">
        <v>50</v>
      </c>
      <c r="D130" t="s">
        <v>34</v>
      </c>
      <c r="E130" t="s">
        <v>286</v>
      </c>
      <c r="F130" t="s">
        <v>117</v>
      </c>
      <c r="G130">
        <v>20000</v>
      </c>
      <c r="H130" s="1">
        <v>44390</v>
      </c>
      <c r="I130">
        <v>2021</v>
      </c>
      <c r="J130" t="s">
        <v>57</v>
      </c>
      <c r="K130">
        <v>7</v>
      </c>
      <c r="L130" t="s">
        <v>21</v>
      </c>
      <c r="M130" t="s">
        <v>22</v>
      </c>
      <c r="N130" t="s">
        <v>40</v>
      </c>
    </row>
    <row r="131" spans="1:14" x14ac:dyDescent="0.3">
      <c r="A131" t="s">
        <v>287</v>
      </c>
      <c r="B131" t="s">
        <v>126</v>
      </c>
      <c r="C131" t="s">
        <v>127</v>
      </c>
      <c r="D131" t="s">
        <v>136</v>
      </c>
      <c r="E131" t="s">
        <v>288</v>
      </c>
      <c r="F131" t="s">
        <v>19</v>
      </c>
      <c r="G131">
        <v>329000</v>
      </c>
      <c r="H131" s="1">
        <v>45348</v>
      </c>
      <c r="I131">
        <v>2024</v>
      </c>
      <c r="J131" t="s">
        <v>108</v>
      </c>
      <c r="K131">
        <v>2</v>
      </c>
      <c r="L131" t="s">
        <v>21</v>
      </c>
      <c r="M131" t="s">
        <v>22</v>
      </c>
      <c r="N131" t="s">
        <v>40</v>
      </c>
    </row>
    <row r="132" spans="1:14" x14ac:dyDescent="0.3">
      <c r="A132" t="s">
        <v>193</v>
      </c>
      <c r="B132" t="s">
        <v>86</v>
      </c>
      <c r="C132" t="s">
        <v>87</v>
      </c>
      <c r="D132" t="s">
        <v>96</v>
      </c>
      <c r="E132" t="s">
        <v>289</v>
      </c>
      <c r="F132" t="s">
        <v>19</v>
      </c>
      <c r="G132">
        <v>233000</v>
      </c>
      <c r="H132" s="1">
        <v>44495</v>
      </c>
      <c r="I132">
        <v>2021</v>
      </c>
      <c r="J132" t="s">
        <v>89</v>
      </c>
      <c r="K132">
        <v>10</v>
      </c>
      <c r="L132" t="s">
        <v>21</v>
      </c>
      <c r="M132" t="s">
        <v>22</v>
      </c>
      <c r="N132" t="s">
        <v>47</v>
      </c>
    </row>
    <row r="133" spans="1:14" x14ac:dyDescent="0.3">
      <c r="A133" t="s">
        <v>73</v>
      </c>
      <c r="B133" t="s">
        <v>126</v>
      </c>
      <c r="C133" t="s">
        <v>159</v>
      </c>
      <c r="D133" t="s">
        <v>17</v>
      </c>
      <c r="E133" t="s">
        <v>290</v>
      </c>
      <c r="F133" t="s">
        <v>19</v>
      </c>
      <c r="G133">
        <v>113000</v>
      </c>
      <c r="H133" s="1">
        <v>45186</v>
      </c>
      <c r="I133">
        <v>2023</v>
      </c>
      <c r="J133" t="s">
        <v>46</v>
      </c>
      <c r="K133">
        <v>9</v>
      </c>
      <c r="L133" t="s">
        <v>21</v>
      </c>
      <c r="M133" t="s">
        <v>22</v>
      </c>
      <c r="N133" t="s">
        <v>40</v>
      </c>
    </row>
    <row r="134" spans="1:14" x14ac:dyDescent="0.3">
      <c r="A134" t="s">
        <v>178</v>
      </c>
      <c r="B134" t="s">
        <v>32</v>
      </c>
      <c r="C134" t="s">
        <v>33</v>
      </c>
      <c r="D134" t="s">
        <v>96</v>
      </c>
      <c r="E134" t="s">
        <v>291</v>
      </c>
      <c r="F134" t="s">
        <v>56</v>
      </c>
      <c r="G134">
        <v>132000</v>
      </c>
      <c r="H134" s="1">
        <v>44411</v>
      </c>
      <c r="I134">
        <v>2021</v>
      </c>
      <c r="J134" t="s">
        <v>153</v>
      </c>
      <c r="K134">
        <v>8</v>
      </c>
      <c r="L134" t="s">
        <v>38</v>
      </c>
      <c r="M134" t="s">
        <v>22</v>
      </c>
      <c r="N134" t="s">
        <v>40</v>
      </c>
    </row>
    <row r="135" spans="1:14" x14ac:dyDescent="0.3">
      <c r="A135" t="s">
        <v>292</v>
      </c>
      <c r="B135" t="s">
        <v>126</v>
      </c>
      <c r="C135" t="s">
        <v>159</v>
      </c>
      <c r="D135" t="s">
        <v>27</v>
      </c>
      <c r="E135" t="s">
        <v>293</v>
      </c>
      <c r="F135" t="s">
        <v>19</v>
      </c>
      <c r="G135">
        <v>174000</v>
      </c>
      <c r="H135" s="1">
        <v>45767</v>
      </c>
      <c r="I135">
        <v>2025</v>
      </c>
      <c r="J135" t="s">
        <v>20</v>
      </c>
      <c r="K135">
        <v>4</v>
      </c>
      <c r="L135" t="s">
        <v>21</v>
      </c>
      <c r="M135" t="s">
        <v>22</v>
      </c>
      <c r="N135" t="s">
        <v>40</v>
      </c>
    </row>
    <row r="136" spans="1:14" x14ac:dyDescent="0.3">
      <c r="A136" t="s">
        <v>294</v>
      </c>
      <c r="B136" t="s">
        <v>186</v>
      </c>
      <c r="C136" t="s">
        <v>187</v>
      </c>
      <c r="D136" t="s">
        <v>70</v>
      </c>
      <c r="E136" t="s">
        <v>97</v>
      </c>
      <c r="F136" t="s">
        <v>36</v>
      </c>
      <c r="G136">
        <v>68288000</v>
      </c>
      <c r="H136" s="1">
        <v>44190</v>
      </c>
      <c r="I136">
        <v>2020</v>
      </c>
      <c r="J136" t="s">
        <v>99</v>
      </c>
      <c r="K136">
        <v>12</v>
      </c>
      <c r="L136" t="s">
        <v>38</v>
      </c>
      <c r="M136" t="s">
        <v>39</v>
      </c>
      <c r="N136" t="s">
        <v>31</v>
      </c>
    </row>
    <row r="137" spans="1:14" x14ac:dyDescent="0.3">
      <c r="A137" t="s">
        <v>134</v>
      </c>
      <c r="B137" t="s">
        <v>114</v>
      </c>
      <c r="C137" t="s">
        <v>243</v>
      </c>
      <c r="D137" t="s">
        <v>96</v>
      </c>
      <c r="E137" t="s">
        <v>295</v>
      </c>
      <c r="F137" t="s">
        <v>19</v>
      </c>
      <c r="G137">
        <v>165000</v>
      </c>
      <c r="H137" s="1">
        <v>45595</v>
      </c>
      <c r="I137">
        <v>2024</v>
      </c>
      <c r="J137" t="s">
        <v>89</v>
      </c>
      <c r="K137">
        <v>10</v>
      </c>
      <c r="L137" t="s">
        <v>21</v>
      </c>
      <c r="M137" t="s">
        <v>22</v>
      </c>
      <c r="N137" t="s">
        <v>47</v>
      </c>
    </row>
    <row r="138" spans="1:14" x14ac:dyDescent="0.3">
      <c r="A138" t="s">
        <v>142</v>
      </c>
      <c r="B138" t="s">
        <v>126</v>
      </c>
      <c r="C138" t="s">
        <v>265</v>
      </c>
      <c r="D138" t="s">
        <v>136</v>
      </c>
      <c r="E138" t="s">
        <v>61</v>
      </c>
      <c r="F138" t="s">
        <v>19</v>
      </c>
      <c r="G138">
        <v>339000</v>
      </c>
      <c r="H138" s="1">
        <v>44660</v>
      </c>
      <c r="I138">
        <v>2022</v>
      </c>
      <c r="J138" t="s">
        <v>20</v>
      </c>
      <c r="K138">
        <v>4</v>
      </c>
      <c r="L138" t="s">
        <v>21</v>
      </c>
      <c r="M138" t="s">
        <v>22</v>
      </c>
      <c r="N138" t="s">
        <v>40</v>
      </c>
    </row>
    <row r="139" spans="1:14" x14ac:dyDescent="0.3">
      <c r="A139" t="s">
        <v>296</v>
      </c>
      <c r="B139" t="s">
        <v>59</v>
      </c>
      <c r="C139" t="s">
        <v>60</v>
      </c>
      <c r="D139" t="s">
        <v>70</v>
      </c>
      <c r="E139" t="s">
        <v>112</v>
      </c>
      <c r="F139" t="s">
        <v>175</v>
      </c>
      <c r="G139">
        <v>252342000</v>
      </c>
      <c r="H139" s="1">
        <v>45714</v>
      </c>
      <c r="I139">
        <v>2025</v>
      </c>
      <c r="J139" t="s">
        <v>108</v>
      </c>
      <c r="K139">
        <v>2</v>
      </c>
      <c r="L139" t="s">
        <v>65</v>
      </c>
      <c r="M139" t="s">
        <v>66</v>
      </c>
      <c r="N139" t="s">
        <v>31</v>
      </c>
    </row>
    <row r="140" spans="1:14" x14ac:dyDescent="0.3">
      <c r="A140" t="s">
        <v>52</v>
      </c>
      <c r="B140" t="s">
        <v>126</v>
      </c>
      <c r="C140" t="s">
        <v>265</v>
      </c>
      <c r="D140" t="s">
        <v>111</v>
      </c>
      <c r="E140" t="s">
        <v>293</v>
      </c>
      <c r="F140" t="s">
        <v>19</v>
      </c>
      <c r="G140">
        <v>191000</v>
      </c>
      <c r="H140" s="1">
        <v>45613</v>
      </c>
      <c r="I140">
        <v>2024</v>
      </c>
      <c r="J140" t="s">
        <v>72</v>
      </c>
      <c r="K140">
        <v>11</v>
      </c>
      <c r="L140" t="s">
        <v>21</v>
      </c>
      <c r="M140" t="s">
        <v>22</v>
      </c>
      <c r="N140" t="s">
        <v>40</v>
      </c>
    </row>
    <row r="141" spans="1:14" x14ac:dyDescent="0.3">
      <c r="A141" t="s">
        <v>297</v>
      </c>
      <c r="B141" t="s">
        <v>105</v>
      </c>
      <c r="C141" t="s">
        <v>162</v>
      </c>
      <c r="D141" t="s">
        <v>111</v>
      </c>
      <c r="E141" t="s">
        <v>298</v>
      </c>
      <c r="F141" t="s">
        <v>36</v>
      </c>
      <c r="G141">
        <v>73980000</v>
      </c>
      <c r="H141" s="1">
        <v>44917</v>
      </c>
      <c r="I141">
        <v>2022</v>
      </c>
      <c r="J141" t="s">
        <v>99</v>
      </c>
      <c r="K141">
        <v>12</v>
      </c>
      <c r="L141" t="s">
        <v>38</v>
      </c>
      <c r="M141" t="s">
        <v>39</v>
      </c>
      <c r="N141" t="s">
        <v>23</v>
      </c>
    </row>
    <row r="142" spans="1:14" x14ac:dyDescent="0.3">
      <c r="A142" t="s">
        <v>185</v>
      </c>
      <c r="B142" t="s">
        <v>114</v>
      </c>
      <c r="C142" t="s">
        <v>243</v>
      </c>
      <c r="D142" t="s">
        <v>54</v>
      </c>
      <c r="E142" t="s">
        <v>18</v>
      </c>
      <c r="F142" t="s">
        <v>19</v>
      </c>
      <c r="G142">
        <v>1741000</v>
      </c>
      <c r="H142" s="1">
        <v>44130</v>
      </c>
      <c r="I142">
        <v>2020</v>
      </c>
      <c r="J142" t="s">
        <v>89</v>
      </c>
      <c r="K142">
        <v>10</v>
      </c>
      <c r="L142" t="s">
        <v>21</v>
      </c>
      <c r="M142" t="s">
        <v>30</v>
      </c>
      <c r="N142" t="s">
        <v>47</v>
      </c>
    </row>
    <row r="143" spans="1:14" x14ac:dyDescent="0.3">
      <c r="A143" t="s">
        <v>73</v>
      </c>
      <c r="B143" t="s">
        <v>49</v>
      </c>
      <c r="C143" t="s">
        <v>135</v>
      </c>
      <c r="D143" t="s">
        <v>54</v>
      </c>
      <c r="E143" t="s">
        <v>299</v>
      </c>
      <c r="F143" t="s">
        <v>188</v>
      </c>
      <c r="G143">
        <v>127000</v>
      </c>
      <c r="H143" s="1">
        <v>45117</v>
      </c>
      <c r="I143">
        <v>2023</v>
      </c>
      <c r="J143" t="s">
        <v>57</v>
      </c>
      <c r="K143">
        <v>7</v>
      </c>
      <c r="L143" t="s">
        <v>38</v>
      </c>
      <c r="M143" t="s">
        <v>22</v>
      </c>
      <c r="N143" t="s">
        <v>40</v>
      </c>
    </row>
    <row r="144" spans="1:14" x14ac:dyDescent="0.3">
      <c r="A144" t="s">
        <v>277</v>
      </c>
      <c r="B144" t="s">
        <v>126</v>
      </c>
      <c r="C144" t="s">
        <v>127</v>
      </c>
      <c r="D144" t="s">
        <v>75</v>
      </c>
      <c r="E144" t="s">
        <v>300</v>
      </c>
      <c r="F144" t="s">
        <v>19</v>
      </c>
      <c r="G144">
        <v>313000</v>
      </c>
      <c r="H144" s="1">
        <v>45819</v>
      </c>
      <c r="I144">
        <v>2025</v>
      </c>
      <c r="J144" t="s">
        <v>141</v>
      </c>
      <c r="K144">
        <v>6</v>
      </c>
      <c r="L144" t="s">
        <v>21</v>
      </c>
      <c r="M144" t="s">
        <v>22</v>
      </c>
      <c r="N144" t="s">
        <v>40</v>
      </c>
    </row>
    <row r="145" spans="1:14" x14ac:dyDescent="0.3">
      <c r="A145" t="s">
        <v>269</v>
      </c>
      <c r="B145" t="s">
        <v>59</v>
      </c>
      <c r="C145" t="s">
        <v>149</v>
      </c>
      <c r="D145" t="s">
        <v>75</v>
      </c>
      <c r="E145" t="s">
        <v>301</v>
      </c>
      <c r="F145" t="s">
        <v>19</v>
      </c>
      <c r="G145">
        <v>152000</v>
      </c>
      <c r="H145" s="1">
        <v>44870</v>
      </c>
      <c r="I145">
        <v>2022</v>
      </c>
      <c r="J145" t="s">
        <v>72</v>
      </c>
      <c r="K145">
        <v>11</v>
      </c>
      <c r="L145" t="s">
        <v>21</v>
      </c>
      <c r="M145" t="s">
        <v>22</v>
      </c>
      <c r="N145" t="s">
        <v>31</v>
      </c>
    </row>
    <row r="146" spans="1:14" x14ac:dyDescent="0.3">
      <c r="A146" t="s">
        <v>302</v>
      </c>
      <c r="B146" t="s">
        <v>86</v>
      </c>
      <c r="C146" t="s">
        <v>228</v>
      </c>
      <c r="D146" t="s">
        <v>17</v>
      </c>
      <c r="E146" t="s">
        <v>258</v>
      </c>
      <c r="F146" t="s">
        <v>36</v>
      </c>
      <c r="G146">
        <v>11014000</v>
      </c>
      <c r="H146" s="1">
        <v>45832</v>
      </c>
      <c r="I146">
        <v>2025</v>
      </c>
      <c r="J146" t="s">
        <v>141</v>
      </c>
      <c r="K146">
        <v>6</v>
      </c>
      <c r="L146" t="s">
        <v>38</v>
      </c>
      <c r="M146" t="s">
        <v>39</v>
      </c>
      <c r="N146" t="s">
        <v>47</v>
      </c>
    </row>
    <row r="147" spans="1:14" x14ac:dyDescent="0.3">
      <c r="A147" t="s">
        <v>93</v>
      </c>
      <c r="B147" t="s">
        <v>68</v>
      </c>
      <c r="C147" t="s">
        <v>69</v>
      </c>
      <c r="D147" t="s">
        <v>75</v>
      </c>
      <c r="E147" t="s">
        <v>303</v>
      </c>
      <c r="F147" t="s">
        <v>103</v>
      </c>
      <c r="G147">
        <v>1105000</v>
      </c>
      <c r="H147" s="1">
        <v>45452</v>
      </c>
      <c r="I147">
        <v>2024</v>
      </c>
      <c r="J147" t="s">
        <v>141</v>
      </c>
      <c r="K147">
        <v>6</v>
      </c>
      <c r="L147" t="s">
        <v>38</v>
      </c>
      <c r="M147" t="s">
        <v>30</v>
      </c>
      <c r="N147" t="s">
        <v>31</v>
      </c>
    </row>
    <row r="148" spans="1:14" x14ac:dyDescent="0.3">
      <c r="A148" t="s">
        <v>304</v>
      </c>
      <c r="B148" t="s">
        <v>42</v>
      </c>
      <c r="C148" t="s">
        <v>205</v>
      </c>
      <c r="D148" t="s">
        <v>54</v>
      </c>
      <c r="E148" t="s">
        <v>242</v>
      </c>
      <c r="F148" t="s">
        <v>188</v>
      </c>
      <c r="G148">
        <v>474000</v>
      </c>
      <c r="H148" s="1">
        <v>44753</v>
      </c>
      <c r="I148">
        <v>2022</v>
      </c>
      <c r="J148" t="s">
        <v>57</v>
      </c>
      <c r="K148">
        <v>7</v>
      </c>
      <c r="L148" t="s">
        <v>38</v>
      </c>
      <c r="M148" t="s">
        <v>22</v>
      </c>
      <c r="N148" t="s">
        <v>47</v>
      </c>
    </row>
    <row r="149" spans="1:14" x14ac:dyDescent="0.3">
      <c r="A149" t="s">
        <v>305</v>
      </c>
      <c r="B149" t="s">
        <v>186</v>
      </c>
      <c r="C149" t="s">
        <v>149</v>
      </c>
      <c r="D149" t="s">
        <v>54</v>
      </c>
      <c r="E149" t="s">
        <v>306</v>
      </c>
      <c r="F149" t="s">
        <v>117</v>
      </c>
      <c r="G149">
        <v>64000</v>
      </c>
      <c r="H149" s="1">
        <v>45280</v>
      </c>
      <c r="I149">
        <v>2023</v>
      </c>
      <c r="J149" t="s">
        <v>99</v>
      </c>
      <c r="K149">
        <v>12</v>
      </c>
      <c r="L149" t="s">
        <v>21</v>
      </c>
      <c r="M149" t="s">
        <v>22</v>
      </c>
      <c r="N149" t="s">
        <v>31</v>
      </c>
    </row>
    <row r="150" spans="1:14" x14ac:dyDescent="0.3">
      <c r="A150" t="s">
        <v>100</v>
      </c>
      <c r="B150" t="s">
        <v>94</v>
      </c>
      <c r="C150" t="s">
        <v>159</v>
      </c>
      <c r="D150" t="s">
        <v>136</v>
      </c>
      <c r="E150" t="s">
        <v>247</v>
      </c>
      <c r="F150" t="s">
        <v>132</v>
      </c>
      <c r="G150">
        <v>22992000</v>
      </c>
      <c r="H150" s="1">
        <v>45221</v>
      </c>
      <c r="I150">
        <v>2023</v>
      </c>
      <c r="J150" t="s">
        <v>89</v>
      </c>
      <c r="K150">
        <v>10</v>
      </c>
      <c r="L150" t="s">
        <v>65</v>
      </c>
      <c r="M150" t="s">
        <v>39</v>
      </c>
      <c r="N150" t="s">
        <v>40</v>
      </c>
    </row>
    <row r="151" spans="1:14" x14ac:dyDescent="0.3">
      <c r="A151" t="s">
        <v>307</v>
      </c>
      <c r="B151" t="s">
        <v>186</v>
      </c>
      <c r="C151" t="s">
        <v>149</v>
      </c>
      <c r="D151" t="s">
        <v>136</v>
      </c>
      <c r="E151" t="s">
        <v>308</v>
      </c>
      <c r="F151" t="s">
        <v>19</v>
      </c>
      <c r="G151">
        <v>140000</v>
      </c>
      <c r="H151" s="1">
        <v>45313</v>
      </c>
      <c r="I151">
        <v>2024</v>
      </c>
      <c r="J151" t="s">
        <v>29</v>
      </c>
      <c r="K151">
        <v>1</v>
      </c>
      <c r="L151" t="s">
        <v>21</v>
      </c>
      <c r="M151" t="s">
        <v>22</v>
      </c>
      <c r="N151" t="s">
        <v>31</v>
      </c>
    </row>
    <row r="152" spans="1:14" x14ac:dyDescent="0.3">
      <c r="A152" t="s">
        <v>309</v>
      </c>
      <c r="B152" t="s">
        <v>105</v>
      </c>
      <c r="C152" t="s">
        <v>106</v>
      </c>
      <c r="D152" t="s">
        <v>34</v>
      </c>
      <c r="E152" t="s">
        <v>310</v>
      </c>
      <c r="F152" t="s">
        <v>188</v>
      </c>
      <c r="G152">
        <v>1426000</v>
      </c>
      <c r="H152" s="1">
        <v>45261</v>
      </c>
      <c r="I152">
        <v>2023</v>
      </c>
      <c r="J152" t="s">
        <v>99</v>
      </c>
      <c r="K152">
        <v>12</v>
      </c>
      <c r="L152" t="s">
        <v>38</v>
      </c>
      <c r="M152" t="s">
        <v>30</v>
      </c>
      <c r="N152" t="s">
        <v>23</v>
      </c>
    </row>
    <row r="153" spans="1:14" x14ac:dyDescent="0.3">
      <c r="A153" t="s">
        <v>237</v>
      </c>
      <c r="B153" t="s">
        <v>49</v>
      </c>
      <c r="C153" t="s">
        <v>225</v>
      </c>
      <c r="D153" t="s">
        <v>54</v>
      </c>
      <c r="E153" t="s">
        <v>311</v>
      </c>
      <c r="F153" t="s">
        <v>36</v>
      </c>
      <c r="G153">
        <v>9715000</v>
      </c>
      <c r="H153" s="1">
        <v>45528</v>
      </c>
      <c r="I153">
        <v>2024</v>
      </c>
      <c r="J153" t="s">
        <v>153</v>
      </c>
      <c r="K153">
        <v>8</v>
      </c>
      <c r="L153" t="s">
        <v>38</v>
      </c>
      <c r="M153" t="s">
        <v>30</v>
      </c>
      <c r="N153" t="s">
        <v>40</v>
      </c>
    </row>
    <row r="154" spans="1:14" x14ac:dyDescent="0.3">
      <c r="A154" t="s">
        <v>113</v>
      </c>
      <c r="B154" t="s">
        <v>32</v>
      </c>
      <c r="C154" t="s">
        <v>138</v>
      </c>
      <c r="D154" t="s">
        <v>27</v>
      </c>
      <c r="E154" t="s">
        <v>301</v>
      </c>
      <c r="F154" t="s">
        <v>56</v>
      </c>
      <c r="G154">
        <v>140000</v>
      </c>
      <c r="H154" s="1">
        <v>44200</v>
      </c>
      <c r="I154">
        <v>2021</v>
      </c>
      <c r="J154" t="s">
        <v>29</v>
      </c>
      <c r="K154">
        <v>1</v>
      </c>
      <c r="L154" t="s">
        <v>38</v>
      </c>
      <c r="M154" t="s">
        <v>22</v>
      </c>
      <c r="N154" t="s">
        <v>40</v>
      </c>
    </row>
    <row r="155" spans="1:14" x14ac:dyDescent="0.3">
      <c r="A155" t="s">
        <v>312</v>
      </c>
      <c r="B155" t="s">
        <v>15</v>
      </c>
      <c r="C155" t="s">
        <v>16</v>
      </c>
      <c r="D155" t="s">
        <v>54</v>
      </c>
      <c r="E155" t="s">
        <v>91</v>
      </c>
      <c r="F155" t="s">
        <v>19</v>
      </c>
      <c r="G155">
        <v>304000</v>
      </c>
      <c r="H155" s="1">
        <v>44436</v>
      </c>
      <c r="I155">
        <v>2021</v>
      </c>
      <c r="J155" t="s">
        <v>153</v>
      </c>
      <c r="K155">
        <v>8</v>
      </c>
      <c r="L155" t="s">
        <v>21</v>
      </c>
      <c r="M155" t="s">
        <v>22</v>
      </c>
      <c r="N155" t="s">
        <v>23</v>
      </c>
    </row>
    <row r="156" spans="1:14" x14ac:dyDescent="0.3">
      <c r="A156" t="s">
        <v>313</v>
      </c>
      <c r="B156" t="s">
        <v>59</v>
      </c>
      <c r="C156" t="s">
        <v>60</v>
      </c>
      <c r="D156" t="s">
        <v>54</v>
      </c>
      <c r="E156" t="s">
        <v>63</v>
      </c>
      <c r="F156" t="s">
        <v>103</v>
      </c>
      <c r="G156">
        <v>14428000</v>
      </c>
      <c r="H156" s="1">
        <v>44146</v>
      </c>
      <c r="I156">
        <v>2020</v>
      </c>
      <c r="J156" t="s">
        <v>72</v>
      </c>
      <c r="K156">
        <v>11</v>
      </c>
      <c r="L156" t="s">
        <v>38</v>
      </c>
      <c r="M156" t="s">
        <v>39</v>
      </c>
      <c r="N156" t="s">
        <v>31</v>
      </c>
    </row>
    <row r="157" spans="1:14" x14ac:dyDescent="0.3">
      <c r="A157" t="s">
        <v>220</v>
      </c>
      <c r="B157" t="s">
        <v>25</v>
      </c>
      <c r="C157" t="s">
        <v>168</v>
      </c>
      <c r="D157" t="s">
        <v>27</v>
      </c>
      <c r="E157" t="s">
        <v>314</v>
      </c>
      <c r="F157" t="s">
        <v>56</v>
      </c>
      <c r="G157">
        <v>175000</v>
      </c>
      <c r="H157" s="1">
        <v>45216</v>
      </c>
      <c r="I157">
        <v>2023</v>
      </c>
      <c r="J157" t="s">
        <v>89</v>
      </c>
      <c r="K157">
        <v>10</v>
      </c>
      <c r="L157" t="s">
        <v>38</v>
      </c>
      <c r="M157" t="s">
        <v>22</v>
      </c>
      <c r="N157" t="s">
        <v>31</v>
      </c>
    </row>
    <row r="158" spans="1:14" x14ac:dyDescent="0.3">
      <c r="A158" t="s">
        <v>277</v>
      </c>
      <c r="B158" t="s">
        <v>15</v>
      </c>
      <c r="C158" t="s">
        <v>110</v>
      </c>
      <c r="D158" t="s">
        <v>70</v>
      </c>
      <c r="E158" t="s">
        <v>315</v>
      </c>
      <c r="F158" t="s">
        <v>128</v>
      </c>
      <c r="G158">
        <v>37000</v>
      </c>
      <c r="H158" s="1">
        <v>44228</v>
      </c>
      <c r="I158">
        <v>2021</v>
      </c>
      <c r="J158" t="s">
        <v>108</v>
      </c>
      <c r="K158">
        <v>2</v>
      </c>
      <c r="L158" t="s">
        <v>21</v>
      </c>
      <c r="M158" t="s">
        <v>22</v>
      </c>
      <c r="N158" t="s">
        <v>23</v>
      </c>
    </row>
    <row r="159" spans="1:14" x14ac:dyDescent="0.3">
      <c r="A159" t="s">
        <v>235</v>
      </c>
      <c r="B159" t="s">
        <v>42</v>
      </c>
      <c r="C159" t="s">
        <v>43</v>
      </c>
      <c r="D159" t="s">
        <v>136</v>
      </c>
      <c r="E159" t="s">
        <v>242</v>
      </c>
      <c r="F159" t="s">
        <v>103</v>
      </c>
      <c r="G159">
        <v>7866000</v>
      </c>
      <c r="H159" s="1">
        <v>44688</v>
      </c>
      <c r="I159">
        <v>2022</v>
      </c>
      <c r="J159" t="s">
        <v>77</v>
      </c>
      <c r="K159">
        <v>5</v>
      </c>
      <c r="L159" t="s">
        <v>38</v>
      </c>
      <c r="M159" t="s">
        <v>30</v>
      </c>
      <c r="N159" t="s">
        <v>47</v>
      </c>
    </row>
    <row r="160" spans="1:14" x14ac:dyDescent="0.3">
      <c r="A160" t="s">
        <v>316</v>
      </c>
      <c r="B160" t="s">
        <v>81</v>
      </c>
      <c r="C160" t="s">
        <v>90</v>
      </c>
      <c r="D160" t="s">
        <v>96</v>
      </c>
      <c r="E160" t="s">
        <v>317</v>
      </c>
      <c r="F160" t="s">
        <v>103</v>
      </c>
      <c r="G160">
        <v>1903000</v>
      </c>
      <c r="H160" s="1">
        <v>44041</v>
      </c>
      <c r="I160">
        <v>2020</v>
      </c>
      <c r="J160" t="s">
        <v>57</v>
      </c>
      <c r="K160">
        <v>7</v>
      </c>
      <c r="L160" t="s">
        <v>38</v>
      </c>
      <c r="M160" t="s">
        <v>30</v>
      </c>
      <c r="N160" t="s">
        <v>84</v>
      </c>
    </row>
    <row r="161" spans="1:14" x14ac:dyDescent="0.3">
      <c r="A161" t="s">
        <v>318</v>
      </c>
      <c r="B161" t="s">
        <v>94</v>
      </c>
      <c r="C161" t="s">
        <v>159</v>
      </c>
      <c r="D161" t="s">
        <v>111</v>
      </c>
      <c r="E161" t="s">
        <v>234</v>
      </c>
      <c r="F161" t="s">
        <v>19</v>
      </c>
      <c r="G161">
        <v>734000</v>
      </c>
      <c r="H161" s="1">
        <v>44726</v>
      </c>
      <c r="I161">
        <v>2022</v>
      </c>
      <c r="J161" t="s">
        <v>141</v>
      </c>
      <c r="K161">
        <v>6</v>
      </c>
      <c r="L161" t="s">
        <v>21</v>
      </c>
      <c r="M161" t="s">
        <v>22</v>
      </c>
      <c r="N161" t="s">
        <v>40</v>
      </c>
    </row>
    <row r="162" spans="1:14" x14ac:dyDescent="0.3">
      <c r="A162" t="s">
        <v>297</v>
      </c>
      <c r="B162" t="s">
        <v>86</v>
      </c>
      <c r="C162" t="s">
        <v>283</v>
      </c>
      <c r="D162" t="s">
        <v>136</v>
      </c>
      <c r="E162" t="s">
        <v>217</v>
      </c>
      <c r="F162" t="s">
        <v>19</v>
      </c>
      <c r="G162">
        <v>194000</v>
      </c>
      <c r="H162" s="1">
        <v>44859</v>
      </c>
      <c r="I162">
        <v>2022</v>
      </c>
      <c r="J162" t="s">
        <v>89</v>
      </c>
      <c r="K162">
        <v>10</v>
      </c>
      <c r="L162" t="s">
        <v>21</v>
      </c>
      <c r="M162" t="s">
        <v>22</v>
      </c>
      <c r="N162" t="s">
        <v>47</v>
      </c>
    </row>
    <row r="163" spans="1:14" x14ac:dyDescent="0.3">
      <c r="A163" t="s">
        <v>309</v>
      </c>
      <c r="B163" t="s">
        <v>81</v>
      </c>
      <c r="C163" t="s">
        <v>319</v>
      </c>
      <c r="D163" t="s">
        <v>17</v>
      </c>
      <c r="E163" t="s">
        <v>51</v>
      </c>
      <c r="F163" t="s">
        <v>175</v>
      </c>
      <c r="G163">
        <v>214425000</v>
      </c>
      <c r="H163" s="1">
        <v>45162</v>
      </c>
      <c r="I163">
        <v>2023</v>
      </c>
      <c r="J163" t="s">
        <v>153</v>
      </c>
      <c r="K163">
        <v>8</v>
      </c>
      <c r="L163" t="s">
        <v>65</v>
      </c>
      <c r="M163" t="s">
        <v>66</v>
      </c>
      <c r="N163" t="s">
        <v>84</v>
      </c>
    </row>
    <row r="164" spans="1:14" x14ac:dyDescent="0.3">
      <c r="A164" t="s">
        <v>320</v>
      </c>
      <c r="B164" t="s">
        <v>114</v>
      </c>
      <c r="C164" t="s">
        <v>115</v>
      </c>
      <c r="D164" t="s">
        <v>54</v>
      </c>
      <c r="E164" t="s">
        <v>321</v>
      </c>
      <c r="F164" t="s">
        <v>132</v>
      </c>
      <c r="G164">
        <v>111204000</v>
      </c>
      <c r="H164" s="1">
        <v>44791</v>
      </c>
      <c r="I164">
        <v>2022</v>
      </c>
      <c r="J164" t="s">
        <v>153</v>
      </c>
      <c r="K164">
        <v>8</v>
      </c>
      <c r="L164" t="s">
        <v>65</v>
      </c>
      <c r="M164" t="s">
        <v>66</v>
      </c>
      <c r="N164" t="s">
        <v>47</v>
      </c>
    </row>
    <row r="165" spans="1:14" x14ac:dyDescent="0.3">
      <c r="A165" t="s">
        <v>276</v>
      </c>
      <c r="B165" t="s">
        <v>94</v>
      </c>
      <c r="C165" t="s">
        <v>95</v>
      </c>
      <c r="D165" t="s">
        <v>54</v>
      </c>
      <c r="E165" t="s">
        <v>322</v>
      </c>
      <c r="F165" t="s">
        <v>103</v>
      </c>
      <c r="G165">
        <v>4267000</v>
      </c>
      <c r="H165" s="1">
        <v>45320</v>
      </c>
      <c r="I165">
        <v>2024</v>
      </c>
      <c r="J165" t="s">
        <v>29</v>
      </c>
      <c r="K165">
        <v>1</v>
      </c>
      <c r="L165" t="s">
        <v>38</v>
      </c>
      <c r="M165" t="s">
        <v>30</v>
      </c>
      <c r="N165" t="s">
        <v>40</v>
      </c>
    </row>
    <row r="166" spans="1:14" x14ac:dyDescent="0.3">
      <c r="A166" t="s">
        <v>151</v>
      </c>
      <c r="B166" t="s">
        <v>186</v>
      </c>
      <c r="C166" t="s">
        <v>187</v>
      </c>
      <c r="D166" t="s">
        <v>44</v>
      </c>
      <c r="E166" t="s">
        <v>279</v>
      </c>
      <c r="F166" t="s">
        <v>56</v>
      </c>
      <c r="G166">
        <v>123000</v>
      </c>
      <c r="H166" s="1">
        <v>45456</v>
      </c>
      <c r="I166">
        <v>2024</v>
      </c>
      <c r="J166" t="s">
        <v>141</v>
      </c>
      <c r="K166">
        <v>6</v>
      </c>
      <c r="L166" t="s">
        <v>38</v>
      </c>
      <c r="M166" t="s">
        <v>22</v>
      </c>
      <c r="N166" t="s">
        <v>31</v>
      </c>
    </row>
    <row r="167" spans="1:14" x14ac:dyDescent="0.3">
      <c r="A167" t="s">
        <v>233</v>
      </c>
      <c r="B167" t="s">
        <v>126</v>
      </c>
      <c r="C167" t="s">
        <v>127</v>
      </c>
      <c r="D167" t="s">
        <v>27</v>
      </c>
      <c r="E167" t="s">
        <v>140</v>
      </c>
      <c r="F167" t="s">
        <v>36</v>
      </c>
      <c r="G167">
        <v>50673000</v>
      </c>
      <c r="H167" s="1">
        <v>45008</v>
      </c>
      <c r="I167">
        <v>2023</v>
      </c>
      <c r="J167" t="s">
        <v>37</v>
      </c>
      <c r="K167">
        <v>3</v>
      </c>
      <c r="L167" t="s">
        <v>38</v>
      </c>
      <c r="M167" t="s">
        <v>39</v>
      </c>
      <c r="N167" t="s">
        <v>40</v>
      </c>
    </row>
    <row r="168" spans="1:14" x14ac:dyDescent="0.3">
      <c r="A168" t="s">
        <v>323</v>
      </c>
      <c r="B168" t="s">
        <v>68</v>
      </c>
      <c r="C168" t="s">
        <v>324</v>
      </c>
      <c r="D168" t="s">
        <v>75</v>
      </c>
      <c r="E168" t="s">
        <v>325</v>
      </c>
      <c r="F168" t="s">
        <v>56</v>
      </c>
      <c r="G168">
        <v>209000</v>
      </c>
      <c r="H168" s="1">
        <v>44999</v>
      </c>
      <c r="I168">
        <v>2023</v>
      </c>
      <c r="J168" t="s">
        <v>37</v>
      </c>
      <c r="K168">
        <v>3</v>
      </c>
      <c r="L168" t="s">
        <v>38</v>
      </c>
      <c r="M168" t="s">
        <v>22</v>
      </c>
      <c r="N168" t="s">
        <v>31</v>
      </c>
    </row>
    <row r="169" spans="1:14" x14ac:dyDescent="0.3">
      <c r="A169" t="s">
        <v>326</v>
      </c>
      <c r="B169" t="s">
        <v>186</v>
      </c>
      <c r="C169" t="s">
        <v>149</v>
      </c>
      <c r="D169" t="s">
        <v>111</v>
      </c>
      <c r="E169" t="s">
        <v>266</v>
      </c>
      <c r="F169" t="s">
        <v>103</v>
      </c>
      <c r="G169">
        <v>1657000</v>
      </c>
      <c r="H169" s="1">
        <v>44870</v>
      </c>
      <c r="I169">
        <v>2022</v>
      </c>
      <c r="J169" t="s">
        <v>72</v>
      </c>
      <c r="K169">
        <v>11</v>
      </c>
      <c r="L169" t="s">
        <v>38</v>
      </c>
      <c r="M169" t="s">
        <v>30</v>
      </c>
      <c r="N169" t="s">
        <v>31</v>
      </c>
    </row>
    <row r="170" spans="1:14" x14ac:dyDescent="0.3">
      <c r="A170" t="s">
        <v>292</v>
      </c>
      <c r="B170" t="s">
        <v>86</v>
      </c>
      <c r="C170" t="s">
        <v>228</v>
      </c>
      <c r="D170" t="s">
        <v>27</v>
      </c>
      <c r="E170" t="s">
        <v>217</v>
      </c>
      <c r="F170" t="s">
        <v>56</v>
      </c>
      <c r="G170">
        <v>110000</v>
      </c>
      <c r="H170" s="1">
        <v>43969</v>
      </c>
      <c r="I170">
        <v>2020</v>
      </c>
      <c r="J170" t="s">
        <v>77</v>
      </c>
      <c r="K170">
        <v>5</v>
      </c>
      <c r="L170" t="s">
        <v>38</v>
      </c>
      <c r="M170" t="s">
        <v>22</v>
      </c>
      <c r="N170" t="s">
        <v>47</v>
      </c>
    </row>
    <row r="171" spans="1:14" x14ac:dyDescent="0.3">
      <c r="A171" t="s">
        <v>104</v>
      </c>
      <c r="B171" t="s">
        <v>59</v>
      </c>
      <c r="C171" t="s">
        <v>60</v>
      </c>
      <c r="D171" t="s">
        <v>96</v>
      </c>
      <c r="E171" t="s">
        <v>327</v>
      </c>
      <c r="F171" t="s">
        <v>19</v>
      </c>
      <c r="G171">
        <v>442000</v>
      </c>
      <c r="H171" s="1">
        <v>44552</v>
      </c>
      <c r="I171">
        <v>2021</v>
      </c>
      <c r="J171" t="s">
        <v>99</v>
      </c>
      <c r="K171">
        <v>12</v>
      </c>
      <c r="L171" t="s">
        <v>21</v>
      </c>
      <c r="M171" t="s">
        <v>22</v>
      </c>
      <c r="N171" t="s">
        <v>31</v>
      </c>
    </row>
    <row r="172" spans="1:14" x14ac:dyDescent="0.3">
      <c r="A172" t="s">
        <v>328</v>
      </c>
      <c r="B172" t="s">
        <v>42</v>
      </c>
      <c r="C172" t="s">
        <v>205</v>
      </c>
      <c r="D172" t="s">
        <v>54</v>
      </c>
      <c r="E172" t="s">
        <v>329</v>
      </c>
      <c r="F172" t="s">
        <v>132</v>
      </c>
      <c r="G172">
        <v>125287000</v>
      </c>
      <c r="H172" s="1">
        <v>43960</v>
      </c>
      <c r="I172">
        <v>2020</v>
      </c>
      <c r="J172" t="s">
        <v>77</v>
      </c>
      <c r="K172">
        <v>5</v>
      </c>
      <c r="L172" t="s">
        <v>65</v>
      </c>
      <c r="M172" t="s">
        <v>66</v>
      </c>
      <c r="N172" t="s">
        <v>47</v>
      </c>
    </row>
    <row r="173" spans="1:14" x14ac:dyDescent="0.3">
      <c r="A173" t="s">
        <v>292</v>
      </c>
      <c r="B173" t="s">
        <v>81</v>
      </c>
      <c r="C173" t="s">
        <v>319</v>
      </c>
      <c r="D173" t="s">
        <v>34</v>
      </c>
      <c r="E173" t="s">
        <v>330</v>
      </c>
      <c r="F173" t="s">
        <v>103</v>
      </c>
      <c r="G173">
        <v>1046000</v>
      </c>
      <c r="H173" s="1">
        <v>45500</v>
      </c>
      <c r="I173">
        <v>2024</v>
      </c>
      <c r="J173" t="s">
        <v>57</v>
      </c>
      <c r="K173">
        <v>7</v>
      </c>
      <c r="L173" t="s">
        <v>38</v>
      </c>
      <c r="M173" t="s">
        <v>30</v>
      </c>
      <c r="N173" t="s">
        <v>84</v>
      </c>
    </row>
    <row r="174" spans="1:14" x14ac:dyDescent="0.3">
      <c r="A174" t="s">
        <v>304</v>
      </c>
      <c r="B174" t="s">
        <v>114</v>
      </c>
      <c r="C174" t="s">
        <v>156</v>
      </c>
      <c r="D174" t="s">
        <v>96</v>
      </c>
      <c r="E174" t="s">
        <v>183</v>
      </c>
      <c r="F174" t="s">
        <v>19</v>
      </c>
      <c r="G174">
        <v>331000</v>
      </c>
      <c r="H174" s="1">
        <v>45468</v>
      </c>
      <c r="I174">
        <v>2024</v>
      </c>
      <c r="J174" t="s">
        <v>141</v>
      </c>
      <c r="K174">
        <v>6</v>
      </c>
      <c r="L174" t="s">
        <v>21</v>
      </c>
      <c r="M174" t="s">
        <v>22</v>
      </c>
      <c r="N174" t="s">
        <v>47</v>
      </c>
    </row>
    <row r="175" spans="1:14" x14ac:dyDescent="0.3">
      <c r="A175" t="s">
        <v>230</v>
      </c>
      <c r="B175" t="s">
        <v>68</v>
      </c>
      <c r="C175" t="s">
        <v>69</v>
      </c>
      <c r="D175" t="s">
        <v>54</v>
      </c>
      <c r="E175" t="s">
        <v>234</v>
      </c>
      <c r="F175" t="s">
        <v>103</v>
      </c>
      <c r="G175">
        <v>1847000</v>
      </c>
      <c r="H175" s="1">
        <v>44849</v>
      </c>
      <c r="I175">
        <v>2022</v>
      </c>
      <c r="J175" t="s">
        <v>89</v>
      </c>
      <c r="K175">
        <v>10</v>
      </c>
      <c r="L175" t="s">
        <v>38</v>
      </c>
      <c r="M175" t="s">
        <v>30</v>
      </c>
      <c r="N175" t="s">
        <v>31</v>
      </c>
    </row>
    <row r="176" spans="1:14" x14ac:dyDescent="0.3">
      <c r="A176" t="s">
        <v>331</v>
      </c>
      <c r="B176" t="s">
        <v>25</v>
      </c>
      <c r="C176" t="s">
        <v>168</v>
      </c>
      <c r="D176" t="s">
        <v>17</v>
      </c>
      <c r="E176" t="s">
        <v>192</v>
      </c>
      <c r="F176" t="s">
        <v>103</v>
      </c>
      <c r="G176">
        <v>5738000</v>
      </c>
      <c r="H176" s="1">
        <v>45515</v>
      </c>
      <c r="I176">
        <v>2024</v>
      </c>
      <c r="J176" t="s">
        <v>153</v>
      </c>
      <c r="K176">
        <v>8</v>
      </c>
      <c r="L176" t="s">
        <v>38</v>
      </c>
      <c r="M176" t="s">
        <v>30</v>
      </c>
      <c r="N176" t="s">
        <v>31</v>
      </c>
    </row>
    <row r="177" spans="1:14" x14ac:dyDescent="0.3">
      <c r="A177" t="s">
        <v>332</v>
      </c>
      <c r="B177" t="s">
        <v>86</v>
      </c>
      <c r="C177" t="s">
        <v>228</v>
      </c>
      <c r="D177" t="s">
        <v>34</v>
      </c>
      <c r="E177" t="s">
        <v>165</v>
      </c>
      <c r="F177" t="s">
        <v>103</v>
      </c>
      <c r="G177">
        <v>1604000</v>
      </c>
      <c r="H177" s="1">
        <v>45300</v>
      </c>
      <c r="I177">
        <v>2024</v>
      </c>
      <c r="J177" t="s">
        <v>29</v>
      </c>
      <c r="K177">
        <v>1</v>
      </c>
      <c r="L177" t="s">
        <v>38</v>
      </c>
      <c r="M177" t="s">
        <v>30</v>
      </c>
      <c r="N177" t="s">
        <v>47</v>
      </c>
    </row>
    <row r="178" spans="1:14" x14ac:dyDescent="0.3">
      <c r="A178" t="s">
        <v>333</v>
      </c>
      <c r="B178" t="s">
        <v>114</v>
      </c>
      <c r="C178" t="s">
        <v>115</v>
      </c>
      <c r="D178" t="s">
        <v>75</v>
      </c>
      <c r="E178" t="s">
        <v>334</v>
      </c>
      <c r="F178" t="s">
        <v>92</v>
      </c>
      <c r="G178">
        <v>7325000</v>
      </c>
      <c r="H178" s="1">
        <v>44393</v>
      </c>
      <c r="I178">
        <v>2021</v>
      </c>
      <c r="J178" t="s">
        <v>57</v>
      </c>
      <c r="K178">
        <v>7</v>
      </c>
      <c r="L178" t="s">
        <v>65</v>
      </c>
      <c r="M178" t="s">
        <v>30</v>
      </c>
      <c r="N178" t="s">
        <v>47</v>
      </c>
    </row>
    <row r="179" spans="1:14" x14ac:dyDescent="0.3">
      <c r="A179" t="s">
        <v>232</v>
      </c>
      <c r="B179" t="s">
        <v>59</v>
      </c>
      <c r="C179" t="s">
        <v>60</v>
      </c>
      <c r="D179" t="s">
        <v>54</v>
      </c>
      <c r="E179" t="s">
        <v>335</v>
      </c>
      <c r="F179" t="s">
        <v>188</v>
      </c>
      <c r="G179">
        <v>208000</v>
      </c>
      <c r="H179" s="1">
        <v>44123</v>
      </c>
      <c r="I179">
        <v>2020</v>
      </c>
      <c r="J179" t="s">
        <v>89</v>
      </c>
      <c r="K179">
        <v>10</v>
      </c>
      <c r="L179" t="s">
        <v>38</v>
      </c>
      <c r="M179" t="s">
        <v>22</v>
      </c>
      <c r="N179" t="s">
        <v>31</v>
      </c>
    </row>
    <row r="180" spans="1:14" x14ac:dyDescent="0.3">
      <c r="A180" t="s">
        <v>336</v>
      </c>
      <c r="B180" t="s">
        <v>59</v>
      </c>
      <c r="C180" t="s">
        <v>60</v>
      </c>
      <c r="D180" t="s">
        <v>96</v>
      </c>
      <c r="E180" t="s">
        <v>337</v>
      </c>
      <c r="F180" t="s">
        <v>56</v>
      </c>
      <c r="G180">
        <v>864000</v>
      </c>
      <c r="H180" s="1">
        <v>45775</v>
      </c>
      <c r="I180">
        <v>2025</v>
      </c>
      <c r="J180" t="s">
        <v>20</v>
      </c>
      <c r="K180">
        <v>4</v>
      </c>
      <c r="L180" t="s">
        <v>38</v>
      </c>
      <c r="M180" t="s">
        <v>22</v>
      </c>
      <c r="N180" t="s">
        <v>31</v>
      </c>
    </row>
    <row r="181" spans="1:14" x14ac:dyDescent="0.3">
      <c r="A181" t="s">
        <v>338</v>
      </c>
      <c r="B181" t="s">
        <v>86</v>
      </c>
      <c r="C181" t="s">
        <v>339</v>
      </c>
      <c r="D181" t="s">
        <v>17</v>
      </c>
      <c r="E181" t="s">
        <v>270</v>
      </c>
      <c r="F181" t="s">
        <v>103</v>
      </c>
      <c r="G181">
        <v>1451000</v>
      </c>
      <c r="H181" s="1">
        <v>44915</v>
      </c>
      <c r="I181">
        <v>2022</v>
      </c>
      <c r="J181" t="s">
        <v>99</v>
      </c>
      <c r="K181">
        <v>12</v>
      </c>
      <c r="L181" t="s">
        <v>38</v>
      </c>
      <c r="M181" t="s">
        <v>30</v>
      </c>
      <c r="N181" t="s">
        <v>47</v>
      </c>
    </row>
    <row r="182" spans="1:14" x14ac:dyDescent="0.3">
      <c r="A182" t="s">
        <v>137</v>
      </c>
      <c r="B182" t="s">
        <v>186</v>
      </c>
      <c r="C182" t="s">
        <v>187</v>
      </c>
      <c r="D182" t="s">
        <v>54</v>
      </c>
      <c r="E182" t="s">
        <v>340</v>
      </c>
      <c r="F182" t="s">
        <v>103</v>
      </c>
      <c r="G182">
        <v>2518000</v>
      </c>
      <c r="H182" s="1">
        <v>44623</v>
      </c>
      <c r="I182">
        <v>2022</v>
      </c>
      <c r="J182" t="s">
        <v>37</v>
      </c>
      <c r="K182">
        <v>3</v>
      </c>
      <c r="L182" t="s">
        <v>38</v>
      </c>
      <c r="M182" t="s">
        <v>30</v>
      </c>
      <c r="N182" t="s">
        <v>31</v>
      </c>
    </row>
    <row r="183" spans="1:14" x14ac:dyDescent="0.3">
      <c r="A183" t="s">
        <v>277</v>
      </c>
      <c r="B183" t="s">
        <v>126</v>
      </c>
      <c r="C183" t="s">
        <v>265</v>
      </c>
      <c r="D183" t="s">
        <v>70</v>
      </c>
      <c r="E183" t="s">
        <v>183</v>
      </c>
      <c r="F183" t="s">
        <v>19</v>
      </c>
      <c r="G183">
        <v>76000</v>
      </c>
      <c r="H183" s="1">
        <v>44108</v>
      </c>
      <c r="I183">
        <v>2020</v>
      </c>
      <c r="J183" t="s">
        <v>89</v>
      </c>
      <c r="K183">
        <v>10</v>
      </c>
      <c r="L183" t="s">
        <v>21</v>
      </c>
      <c r="M183" t="s">
        <v>22</v>
      </c>
      <c r="N183" t="s">
        <v>40</v>
      </c>
    </row>
    <row r="184" spans="1:14" x14ac:dyDescent="0.3">
      <c r="A184" t="s">
        <v>58</v>
      </c>
      <c r="B184" t="s">
        <v>186</v>
      </c>
      <c r="C184" t="s">
        <v>341</v>
      </c>
      <c r="D184" t="s">
        <v>96</v>
      </c>
      <c r="E184" t="s">
        <v>200</v>
      </c>
      <c r="F184" t="s">
        <v>36</v>
      </c>
      <c r="G184">
        <v>64925000</v>
      </c>
      <c r="H184" s="1">
        <v>44957</v>
      </c>
      <c r="I184">
        <v>2023</v>
      </c>
      <c r="J184" t="s">
        <v>29</v>
      </c>
      <c r="K184">
        <v>1</v>
      </c>
      <c r="L184" t="s">
        <v>38</v>
      </c>
      <c r="M184" t="s">
        <v>39</v>
      </c>
      <c r="N184" t="s">
        <v>31</v>
      </c>
    </row>
    <row r="185" spans="1:14" x14ac:dyDescent="0.3">
      <c r="A185" t="s">
        <v>100</v>
      </c>
      <c r="B185" t="s">
        <v>25</v>
      </c>
      <c r="C185" t="s">
        <v>26</v>
      </c>
      <c r="D185" t="s">
        <v>54</v>
      </c>
      <c r="E185" t="s">
        <v>231</v>
      </c>
      <c r="F185" t="s">
        <v>132</v>
      </c>
      <c r="G185">
        <v>215209000</v>
      </c>
      <c r="H185" s="1">
        <v>44872</v>
      </c>
      <c r="I185">
        <v>2022</v>
      </c>
      <c r="J185" t="s">
        <v>72</v>
      </c>
      <c r="K185">
        <v>11</v>
      </c>
      <c r="L185" t="s">
        <v>65</v>
      </c>
      <c r="M185" t="s">
        <v>66</v>
      </c>
      <c r="N185" t="s">
        <v>31</v>
      </c>
    </row>
    <row r="186" spans="1:14" x14ac:dyDescent="0.3">
      <c r="A186" t="s">
        <v>342</v>
      </c>
      <c r="B186" t="s">
        <v>15</v>
      </c>
      <c r="C186" t="s">
        <v>53</v>
      </c>
      <c r="D186" t="s">
        <v>27</v>
      </c>
      <c r="E186" t="s">
        <v>226</v>
      </c>
      <c r="F186" t="s">
        <v>56</v>
      </c>
      <c r="G186">
        <v>181000</v>
      </c>
      <c r="H186" s="1">
        <v>45003</v>
      </c>
      <c r="I186">
        <v>2023</v>
      </c>
      <c r="J186" t="s">
        <v>37</v>
      </c>
      <c r="K186">
        <v>3</v>
      </c>
      <c r="L186" t="s">
        <v>38</v>
      </c>
      <c r="M186" t="s">
        <v>22</v>
      </c>
      <c r="N186" t="s">
        <v>23</v>
      </c>
    </row>
    <row r="187" spans="1:14" x14ac:dyDescent="0.3">
      <c r="A187" t="s">
        <v>259</v>
      </c>
      <c r="B187" t="s">
        <v>186</v>
      </c>
      <c r="C187" t="s">
        <v>187</v>
      </c>
      <c r="D187" t="s">
        <v>34</v>
      </c>
      <c r="E187" t="s">
        <v>343</v>
      </c>
      <c r="F187" t="s">
        <v>56</v>
      </c>
      <c r="G187">
        <v>457000</v>
      </c>
      <c r="H187" s="1">
        <v>45299</v>
      </c>
      <c r="I187">
        <v>2024</v>
      </c>
      <c r="J187" t="s">
        <v>29</v>
      </c>
      <c r="K187">
        <v>1</v>
      </c>
      <c r="L187" t="s">
        <v>38</v>
      </c>
      <c r="M187" t="s">
        <v>22</v>
      </c>
      <c r="N187" t="s">
        <v>31</v>
      </c>
    </row>
    <row r="188" spans="1:14" x14ac:dyDescent="0.3">
      <c r="A188" t="s">
        <v>24</v>
      </c>
      <c r="B188" t="s">
        <v>105</v>
      </c>
      <c r="C188" t="s">
        <v>106</v>
      </c>
      <c r="D188" t="s">
        <v>17</v>
      </c>
      <c r="E188" t="s">
        <v>344</v>
      </c>
      <c r="F188" t="s">
        <v>103</v>
      </c>
      <c r="G188">
        <v>9144000</v>
      </c>
      <c r="H188" s="1">
        <v>45223</v>
      </c>
      <c r="I188">
        <v>2023</v>
      </c>
      <c r="J188" t="s">
        <v>89</v>
      </c>
      <c r="K188">
        <v>10</v>
      </c>
      <c r="L188" t="s">
        <v>38</v>
      </c>
      <c r="M188" t="s">
        <v>30</v>
      </c>
      <c r="N188" t="s">
        <v>23</v>
      </c>
    </row>
    <row r="189" spans="1:14" x14ac:dyDescent="0.3">
      <c r="A189" t="s">
        <v>287</v>
      </c>
      <c r="B189" t="s">
        <v>105</v>
      </c>
      <c r="C189" t="s">
        <v>119</v>
      </c>
      <c r="D189" t="s">
        <v>111</v>
      </c>
      <c r="E189" t="s">
        <v>91</v>
      </c>
      <c r="F189" t="s">
        <v>128</v>
      </c>
      <c r="G189">
        <v>26000</v>
      </c>
      <c r="H189" s="1">
        <v>43944</v>
      </c>
      <c r="I189">
        <v>2020</v>
      </c>
      <c r="J189" t="s">
        <v>20</v>
      </c>
      <c r="K189">
        <v>4</v>
      </c>
      <c r="L189" t="s">
        <v>21</v>
      </c>
      <c r="M189" t="s">
        <v>22</v>
      </c>
      <c r="N189" t="s">
        <v>23</v>
      </c>
    </row>
    <row r="190" spans="1:14" x14ac:dyDescent="0.3">
      <c r="A190" t="s">
        <v>269</v>
      </c>
      <c r="B190" t="s">
        <v>105</v>
      </c>
      <c r="C190" t="s">
        <v>345</v>
      </c>
      <c r="D190" t="s">
        <v>96</v>
      </c>
      <c r="E190" t="s">
        <v>234</v>
      </c>
      <c r="F190" t="s">
        <v>128</v>
      </c>
      <c r="G190">
        <v>24000</v>
      </c>
      <c r="H190" s="1">
        <v>44292</v>
      </c>
      <c r="I190">
        <v>2021</v>
      </c>
      <c r="J190" t="s">
        <v>20</v>
      </c>
      <c r="K190">
        <v>4</v>
      </c>
      <c r="L190" t="s">
        <v>21</v>
      </c>
      <c r="M190" t="s">
        <v>22</v>
      </c>
      <c r="N190" t="s">
        <v>23</v>
      </c>
    </row>
    <row r="191" spans="1:14" x14ac:dyDescent="0.3">
      <c r="A191" t="s">
        <v>210</v>
      </c>
      <c r="B191" t="s">
        <v>94</v>
      </c>
      <c r="C191" t="s">
        <v>95</v>
      </c>
      <c r="D191" t="s">
        <v>111</v>
      </c>
      <c r="E191" t="s">
        <v>258</v>
      </c>
      <c r="F191" t="s">
        <v>19</v>
      </c>
      <c r="G191">
        <v>122000</v>
      </c>
      <c r="H191" s="1">
        <v>45111</v>
      </c>
      <c r="I191">
        <v>2023</v>
      </c>
      <c r="J191" t="s">
        <v>57</v>
      </c>
      <c r="K191">
        <v>7</v>
      </c>
      <c r="L191" t="s">
        <v>21</v>
      </c>
      <c r="M191" t="s">
        <v>22</v>
      </c>
      <c r="N191" t="s">
        <v>40</v>
      </c>
    </row>
    <row r="192" spans="1:14" x14ac:dyDescent="0.3">
      <c r="A192" t="s">
        <v>155</v>
      </c>
      <c r="B192" t="s">
        <v>32</v>
      </c>
      <c r="C192" t="s">
        <v>101</v>
      </c>
      <c r="D192" t="s">
        <v>54</v>
      </c>
      <c r="E192" t="s">
        <v>63</v>
      </c>
      <c r="F192" t="s">
        <v>103</v>
      </c>
      <c r="G192">
        <v>1287000</v>
      </c>
      <c r="H192" s="1">
        <v>45020</v>
      </c>
      <c r="I192">
        <v>2023</v>
      </c>
      <c r="J192" t="s">
        <v>20</v>
      </c>
      <c r="K192">
        <v>4</v>
      </c>
      <c r="L192" t="s">
        <v>38</v>
      </c>
      <c r="M192" t="s">
        <v>30</v>
      </c>
      <c r="N192" t="s">
        <v>40</v>
      </c>
    </row>
    <row r="193" spans="1:14" x14ac:dyDescent="0.3">
      <c r="A193" t="s">
        <v>184</v>
      </c>
      <c r="B193" t="s">
        <v>126</v>
      </c>
      <c r="C193" t="s">
        <v>159</v>
      </c>
      <c r="D193" t="s">
        <v>27</v>
      </c>
      <c r="E193" t="s">
        <v>346</v>
      </c>
      <c r="F193" t="s">
        <v>19</v>
      </c>
      <c r="G193">
        <v>1369000</v>
      </c>
      <c r="H193" s="1">
        <v>45773</v>
      </c>
      <c r="I193">
        <v>2025</v>
      </c>
      <c r="J193" t="s">
        <v>20</v>
      </c>
      <c r="K193">
        <v>4</v>
      </c>
      <c r="L193" t="s">
        <v>21</v>
      </c>
      <c r="M193" t="s">
        <v>30</v>
      </c>
      <c r="N193" t="s">
        <v>40</v>
      </c>
    </row>
    <row r="194" spans="1:14" x14ac:dyDescent="0.3">
      <c r="A194" t="s">
        <v>347</v>
      </c>
      <c r="B194" t="s">
        <v>81</v>
      </c>
      <c r="C194" t="s">
        <v>90</v>
      </c>
      <c r="D194" t="s">
        <v>111</v>
      </c>
      <c r="E194" t="s">
        <v>226</v>
      </c>
      <c r="F194" t="s">
        <v>19</v>
      </c>
      <c r="G194">
        <v>1385000</v>
      </c>
      <c r="H194" s="1">
        <v>45790</v>
      </c>
      <c r="I194">
        <v>2025</v>
      </c>
      <c r="J194" t="s">
        <v>77</v>
      </c>
      <c r="K194">
        <v>5</v>
      </c>
      <c r="L194" t="s">
        <v>21</v>
      </c>
      <c r="M194" t="s">
        <v>30</v>
      </c>
      <c r="N194" t="s">
        <v>84</v>
      </c>
    </row>
    <row r="195" spans="1:14" x14ac:dyDescent="0.3">
      <c r="A195" t="s">
        <v>232</v>
      </c>
      <c r="B195" t="s">
        <v>186</v>
      </c>
      <c r="C195" t="s">
        <v>187</v>
      </c>
      <c r="D195" t="s">
        <v>54</v>
      </c>
      <c r="E195" t="s">
        <v>348</v>
      </c>
      <c r="F195" t="s">
        <v>103</v>
      </c>
      <c r="G195">
        <v>5554000</v>
      </c>
      <c r="H195" s="1">
        <v>44822</v>
      </c>
      <c r="I195">
        <v>2022</v>
      </c>
      <c r="J195" t="s">
        <v>46</v>
      </c>
      <c r="K195">
        <v>9</v>
      </c>
      <c r="L195" t="s">
        <v>38</v>
      </c>
      <c r="M195" t="s">
        <v>30</v>
      </c>
      <c r="N195" t="s">
        <v>31</v>
      </c>
    </row>
    <row r="196" spans="1:14" x14ac:dyDescent="0.3">
      <c r="A196" t="s">
        <v>142</v>
      </c>
      <c r="B196" t="s">
        <v>86</v>
      </c>
      <c r="C196" t="s">
        <v>228</v>
      </c>
      <c r="D196" t="s">
        <v>136</v>
      </c>
      <c r="E196" t="s">
        <v>349</v>
      </c>
      <c r="F196" t="s">
        <v>19</v>
      </c>
      <c r="G196">
        <v>175000</v>
      </c>
      <c r="H196" s="1">
        <v>44589</v>
      </c>
      <c r="I196">
        <v>2022</v>
      </c>
      <c r="J196" t="s">
        <v>29</v>
      </c>
      <c r="K196">
        <v>1</v>
      </c>
      <c r="L196" t="s">
        <v>21</v>
      </c>
      <c r="M196" t="s">
        <v>22</v>
      </c>
      <c r="N196" t="s">
        <v>47</v>
      </c>
    </row>
    <row r="197" spans="1:14" x14ac:dyDescent="0.3">
      <c r="A197" t="s">
        <v>221</v>
      </c>
      <c r="B197" t="s">
        <v>186</v>
      </c>
      <c r="C197" t="s">
        <v>341</v>
      </c>
      <c r="D197" t="s">
        <v>70</v>
      </c>
      <c r="E197" t="s">
        <v>200</v>
      </c>
      <c r="F197" t="s">
        <v>19</v>
      </c>
      <c r="G197">
        <v>181000</v>
      </c>
      <c r="H197" s="1">
        <v>44029</v>
      </c>
      <c r="I197">
        <v>2020</v>
      </c>
      <c r="J197" t="s">
        <v>57</v>
      </c>
      <c r="K197">
        <v>7</v>
      </c>
      <c r="L197" t="s">
        <v>21</v>
      </c>
      <c r="M197" t="s">
        <v>22</v>
      </c>
      <c r="N197" t="s">
        <v>31</v>
      </c>
    </row>
    <row r="198" spans="1:14" x14ac:dyDescent="0.3">
      <c r="A198" t="s">
        <v>170</v>
      </c>
      <c r="B198" t="s">
        <v>68</v>
      </c>
      <c r="C198" t="s">
        <v>324</v>
      </c>
      <c r="D198" t="s">
        <v>54</v>
      </c>
      <c r="E198" t="s">
        <v>350</v>
      </c>
      <c r="F198" t="s">
        <v>132</v>
      </c>
      <c r="G198">
        <v>142830000</v>
      </c>
      <c r="H198" s="1">
        <v>45743</v>
      </c>
      <c r="I198">
        <v>2025</v>
      </c>
      <c r="J198" t="s">
        <v>37</v>
      </c>
      <c r="K198">
        <v>3</v>
      </c>
      <c r="L198" t="s">
        <v>65</v>
      </c>
      <c r="M198" t="s">
        <v>66</v>
      </c>
      <c r="N198" t="s">
        <v>31</v>
      </c>
    </row>
    <row r="199" spans="1:14" x14ac:dyDescent="0.3">
      <c r="A199" t="s">
        <v>100</v>
      </c>
      <c r="B199" t="s">
        <v>32</v>
      </c>
      <c r="C199" t="s">
        <v>138</v>
      </c>
      <c r="D199" t="s">
        <v>70</v>
      </c>
      <c r="E199" t="s">
        <v>112</v>
      </c>
      <c r="F199" t="s">
        <v>64</v>
      </c>
      <c r="G199">
        <v>533548000</v>
      </c>
      <c r="H199" s="1">
        <v>44849</v>
      </c>
      <c r="I199">
        <v>2022</v>
      </c>
      <c r="J199" t="s">
        <v>89</v>
      </c>
      <c r="K199">
        <v>10</v>
      </c>
      <c r="L199" t="s">
        <v>65</v>
      </c>
      <c r="M199" t="s">
        <v>66</v>
      </c>
      <c r="N199" t="s">
        <v>40</v>
      </c>
    </row>
    <row r="200" spans="1:14" x14ac:dyDescent="0.3">
      <c r="A200" t="s">
        <v>351</v>
      </c>
      <c r="B200" t="s">
        <v>15</v>
      </c>
      <c r="C200" t="s">
        <v>16</v>
      </c>
      <c r="D200" t="s">
        <v>75</v>
      </c>
      <c r="E200" t="s">
        <v>226</v>
      </c>
      <c r="F200" t="s">
        <v>56</v>
      </c>
      <c r="G200">
        <v>771000</v>
      </c>
      <c r="H200" s="1">
        <v>43934</v>
      </c>
      <c r="I200">
        <v>2020</v>
      </c>
      <c r="J200" t="s">
        <v>20</v>
      </c>
      <c r="K200">
        <v>4</v>
      </c>
      <c r="L200" t="s">
        <v>38</v>
      </c>
      <c r="M200" t="s">
        <v>22</v>
      </c>
      <c r="N200" t="s">
        <v>23</v>
      </c>
    </row>
    <row r="201" spans="1:14" x14ac:dyDescent="0.3">
      <c r="A201" t="s">
        <v>352</v>
      </c>
      <c r="B201" t="s">
        <v>81</v>
      </c>
      <c r="C201" t="s">
        <v>250</v>
      </c>
      <c r="D201" t="s">
        <v>136</v>
      </c>
      <c r="E201" t="s">
        <v>353</v>
      </c>
      <c r="F201" t="s">
        <v>19</v>
      </c>
      <c r="G201">
        <v>888000</v>
      </c>
      <c r="H201" s="1">
        <v>44372</v>
      </c>
      <c r="I201">
        <v>2021</v>
      </c>
      <c r="J201" t="s">
        <v>141</v>
      </c>
      <c r="K201">
        <v>6</v>
      </c>
      <c r="L201" t="s">
        <v>21</v>
      </c>
      <c r="M201" t="s">
        <v>22</v>
      </c>
      <c r="N201" t="s">
        <v>84</v>
      </c>
    </row>
    <row r="202" spans="1:14" x14ac:dyDescent="0.3">
      <c r="A202" t="s">
        <v>48</v>
      </c>
      <c r="B202" t="s">
        <v>126</v>
      </c>
      <c r="C202" t="s">
        <v>127</v>
      </c>
      <c r="D202" t="s">
        <v>44</v>
      </c>
      <c r="E202" t="s">
        <v>270</v>
      </c>
      <c r="F202" t="s">
        <v>56</v>
      </c>
      <c r="G202">
        <v>439000</v>
      </c>
      <c r="H202" s="1">
        <v>44422</v>
      </c>
      <c r="I202">
        <v>2021</v>
      </c>
      <c r="J202" t="s">
        <v>153</v>
      </c>
      <c r="K202">
        <v>8</v>
      </c>
      <c r="L202" t="s">
        <v>38</v>
      </c>
      <c r="M202" t="s">
        <v>22</v>
      </c>
      <c r="N202" t="s">
        <v>40</v>
      </c>
    </row>
    <row r="203" spans="1:14" x14ac:dyDescent="0.3">
      <c r="A203" t="s">
        <v>338</v>
      </c>
      <c r="B203" t="s">
        <v>94</v>
      </c>
      <c r="C203" t="s">
        <v>146</v>
      </c>
      <c r="D203" t="s">
        <v>75</v>
      </c>
      <c r="E203" t="s">
        <v>270</v>
      </c>
      <c r="F203" t="s">
        <v>19</v>
      </c>
      <c r="G203">
        <v>68000</v>
      </c>
      <c r="H203" s="1">
        <v>45827</v>
      </c>
      <c r="I203">
        <v>2025</v>
      </c>
      <c r="J203" t="s">
        <v>141</v>
      </c>
      <c r="K203">
        <v>6</v>
      </c>
      <c r="L203" t="s">
        <v>21</v>
      </c>
      <c r="M203" t="s">
        <v>22</v>
      </c>
      <c r="N203" t="s">
        <v>40</v>
      </c>
    </row>
    <row r="204" spans="1:14" x14ac:dyDescent="0.3">
      <c r="A204" t="s">
        <v>184</v>
      </c>
      <c r="B204" t="s">
        <v>86</v>
      </c>
      <c r="C204" t="s">
        <v>87</v>
      </c>
      <c r="D204" t="s">
        <v>44</v>
      </c>
      <c r="E204" t="s">
        <v>121</v>
      </c>
      <c r="F204" t="s">
        <v>103</v>
      </c>
      <c r="G204">
        <v>1549000</v>
      </c>
      <c r="H204" s="1">
        <v>44653</v>
      </c>
      <c r="I204">
        <v>2022</v>
      </c>
      <c r="J204" t="s">
        <v>20</v>
      </c>
      <c r="K204">
        <v>4</v>
      </c>
      <c r="L204" t="s">
        <v>38</v>
      </c>
      <c r="M204" t="s">
        <v>30</v>
      </c>
      <c r="N204" t="s">
        <v>47</v>
      </c>
    </row>
    <row r="205" spans="1:14" x14ac:dyDescent="0.3">
      <c r="A205" t="s">
        <v>354</v>
      </c>
      <c r="B205" t="s">
        <v>32</v>
      </c>
      <c r="C205" t="s">
        <v>138</v>
      </c>
      <c r="D205" t="s">
        <v>54</v>
      </c>
      <c r="E205" t="s">
        <v>301</v>
      </c>
      <c r="F205" t="s">
        <v>103</v>
      </c>
      <c r="G205">
        <v>11397000</v>
      </c>
      <c r="H205" s="1">
        <v>44886</v>
      </c>
      <c r="I205">
        <v>2022</v>
      </c>
      <c r="J205" t="s">
        <v>72</v>
      </c>
      <c r="K205">
        <v>11</v>
      </c>
      <c r="L205" t="s">
        <v>38</v>
      </c>
      <c r="M205" t="s">
        <v>39</v>
      </c>
      <c r="N205" t="s">
        <v>40</v>
      </c>
    </row>
    <row r="206" spans="1:14" x14ac:dyDescent="0.3">
      <c r="A206" t="s">
        <v>355</v>
      </c>
      <c r="B206" t="s">
        <v>126</v>
      </c>
      <c r="C206" t="s">
        <v>127</v>
      </c>
      <c r="D206" t="s">
        <v>34</v>
      </c>
      <c r="E206" t="s">
        <v>356</v>
      </c>
      <c r="F206" t="s">
        <v>103</v>
      </c>
      <c r="G206">
        <v>5167000</v>
      </c>
      <c r="H206" s="1">
        <v>44869</v>
      </c>
      <c r="I206">
        <v>2022</v>
      </c>
      <c r="J206" t="s">
        <v>72</v>
      </c>
      <c r="K206">
        <v>11</v>
      </c>
      <c r="L206" t="s">
        <v>38</v>
      </c>
      <c r="M206" t="s">
        <v>30</v>
      </c>
      <c r="N206" t="s">
        <v>40</v>
      </c>
    </row>
    <row r="207" spans="1:14" x14ac:dyDescent="0.3">
      <c r="A207" t="s">
        <v>249</v>
      </c>
      <c r="B207" t="s">
        <v>42</v>
      </c>
      <c r="C207" t="s">
        <v>182</v>
      </c>
      <c r="D207" t="s">
        <v>96</v>
      </c>
      <c r="E207" t="s">
        <v>357</v>
      </c>
      <c r="F207" t="s">
        <v>19</v>
      </c>
      <c r="G207">
        <v>52000</v>
      </c>
      <c r="H207" s="1">
        <v>44055</v>
      </c>
      <c r="I207">
        <v>2020</v>
      </c>
      <c r="J207" t="s">
        <v>153</v>
      </c>
      <c r="K207">
        <v>8</v>
      </c>
      <c r="L207" t="s">
        <v>21</v>
      </c>
      <c r="M207" t="s">
        <v>22</v>
      </c>
      <c r="N207" t="s">
        <v>47</v>
      </c>
    </row>
    <row r="208" spans="1:14" x14ac:dyDescent="0.3">
      <c r="A208" t="s">
        <v>285</v>
      </c>
      <c r="B208" t="s">
        <v>94</v>
      </c>
      <c r="C208" t="s">
        <v>146</v>
      </c>
      <c r="D208" t="s">
        <v>75</v>
      </c>
      <c r="E208" t="s">
        <v>258</v>
      </c>
      <c r="F208" t="s">
        <v>103</v>
      </c>
      <c r="G208">
        <v>1316000</v>
      </c>
      <c r="H208" s="1">
        <v>45308</v>
      </c>
      <c r="I208">
        <v>2024</v>
      </c>
      <c r="J208" t="s">
        <v>29</v>
      </c>
      <c r="K208">
        <v>1</v>
      </c>
      <c r="L208" t="s">
        <v>38</v>
      </c>
      <c r="M208" t="s">
        <v>30</v>
      </c>
      <c r="N208" t="s">
        <v>40</v>
      </c>
    </row>
    <row r="209" spans="1:14" x14ac:dyDescent="0.3">
      <c r="A209" t="s">
        <v>296</v>
      </c>
      <c r="B209" t="s">
        <v>32</v>
      </c>
      <c r="C209" t="s">
        <v>101</v>
      </c>
      <c r="D209" t="s">
        <v>75</v>
      </c>
      <c r="E209" t="s">
        <v>242</v>
      </c>
      <c r="F209" t="s">
        <v>132</v>
      </c>
      <c r="G209">
        <v>120606000</v>
      </c>
      <c r="H209" s="1">
        <v>44609</v>
      </c>
      <c r="I209">
        <v>2022</v>
      </c>
      <c r="J209" t="s">
        <v>108</v>
      </c>
      <c r="K209">
        <v>2</v>
      </c>
      <c r="L209" t="s">
        <v>65</v>
      </c>
      <c r="M209" t="s">
        <v>66</v>
      </c>
      <c r="N209" t="s">
        <v>40</v>
      </c>
    </row>
    <row r="210" spans="1:14" x14ac:dyDescent="0.3">
      <c r="A210" t="s">
        <v>358</v>
      </c>
      <c r="B210" t="s">
        <v>25</v>
      </c>
      <c r="C210" t="s">
        <v>171</v>
      </c>
      <c r="D210" t="s">
        <v>44</v>
      </c>
      <c r="E210" t="s">
        <v>359</v>
      </c>
      <c r="F210" t="s">
        <v>117</v>
      </c>
      <c r="G210">
        <v>20000</v>
      </c>
      <c r="H210" s="1">
        <v>44473</v>
      </c>
      <c r="I210">
        <v>2021</v>
      </c>
      <c r="J210" t="s">
        <v>89</v>
      </c>
      <c r="K210">
        <v>10</v>
      </c>
      <c r="L210" t="s">
        <v>21</v>
      </c>
      <c r="M210" t="s">
        <v>22</v>
      </c>
      <c r="N210" t="s">
        <v>31</v>
      </c>
    </row>
    <row r="211" spans="1:14" x14ac:dyDescent="0.3">
      <c r="A211" t="s">
        <v>360</v>
      </c>
      <c r="B211" t="s">
        <v>32</v>
      </c>
      <c r="C211" t="s">
        <v>101</v>
      </c>
      <c r="D211" t="s">
        <v>70</v>
      </c>
      <c r="E211" t="s">
        <v>361</v>
      </c>
      <c r="F211" t="s">
        <v>64</v>
      </c>
      <c r="G211">
        <v>76432000</v>
      </c>
      <c r="H211" s="1">
        <v>45337</v>
      </c>
      <c r="I211">
        <v>2024</v>
      </c>
      <c r="J211" t="s">
        <v>108</v>
      </c>
      <c r="K211">
        <v>2</v>
      </c>
      <c r="L211" t="s">
        <v>65</v>
      </c>
      <c r="M211" t="s">
        <v>39</v>
      </c>
      <c r="N211" t="s">
        <v>40</v>
      </c>
    </row>
    <row r="212" spans="1:14" x14ac:dyDescent="0.3">
      <c r="A212" t="s">
        <v>267</v>
      </c>
      <c r="B212" t="s">
        <v>42</v>
      </c>
      <c r="C212" t="s">
        <v>205</v>
      </c>
      <c r="D212" t="s">
        <v>136</v>
      </c>
      <c r="E212" t="s">
        <v>362</v>
      </c>
      <c r="F212" t="s">
        <v>19</v>
      </c>
      <c r="G212">
        <v>379000</v>
      </c>
      <c r="H212" s="1">
        <v>44185</v>
      </c>
      <c r="I212">
        <v>2020</v>
      </c>
      <c r="J212" t="s">
        <v>99</v>
      </c>
      <c r="K212">
        <v>12</v>
      </c>
      <c r="L212" t="s">
        <v>21</v>
      </c>
      <c r="M212" t="s">
        <v>22</v>
      </c>
      <c r="N212" t="s">
        <v>47</v>
      </c>
    </row>
    <row r="213" spans="1:14" x14ac:dyDescent="0.3">
      <c r="A213" t="s">
        <v>176</v>
      </c>
      <c r="B213" t="s">
        <v>114</v>
      </c>
      <c r="C213" t="s">
        <v>243</v>
      </c>
      <c r="D213" t="s">
        <v>34</v>
      </c>
      <c r="E213" t="s">
        <v>200</v>
      </c>
      <c r="F213" t="s">
        <v>103</v>
      </c>
      <c r="G213">
        <v>6512000</v>
      </c>
      <c r="H213" s="1">
        <v>44224</v>
      </c>
      <c r="I213">
        <v>2021</v>
      </c>
      <c r="J213" t="s">
        <v>29</v>
      </c>
      <c r="K213">
        <v>1</v>
      </c>
      <c r="L213" t="s">
        <v>38</v>
      </c>
      <c r="M213" t="s">
        <v>30</v>
      </c>
      <c r="N213" t="s">
        <v>47</v>
      </c>
    </row>
    <row r="214" spans="1:14" x14ac:dyDescent="0.3">
      <c r="A214" t="s">
        <v>249</v>
      </c>
      <c r="B214" t="s">
        <v>15</v>
      </c>
      <c r="C214" t="s">
        <v>110</v>
      </c>
      <c r="D214" t="s">
        <v>34</v>
      </c>
      <c r="E214" t="s">
        <v>299</v>
      </c>
      <c r="F214" t="s">
        <v>36</v>
      </c>
      <c r="G214">
        <v>30480000</v>
      </c>
      <c r="H214" s="1">
        <v>45244</v>
      </c>
      <c r="I214">
        <v>2023</v>
      </c>
      <c r="J214" t="s">
        <v>72</v>
      </c>
      <c r="K214">
        <v>11</v>
      </c>
      <c r="L214" t="s">
        <v>38</v>
      </c>
      <c r="M214" t="s">
        <v>39</v>
      </c>
      <c r="N214" t="s">
        <v>23</v>
      </c>
    </row>
    <row r="215" spans="1:14" x14ac:dyDescent="0.3">
      <c r="A215" t="s">
        <v>201</v>
      </c>
      <c r="B215" t="s">
        <v>126</v>
      </c>
      <c r="C215" t="s">
        <v>127</v>
      </c>
      <c r="D215" t="s">
        <v>111</v>
      </c>
      <c r="E215" t="s">
        <v>363</v>
      </c>
      <c r="F215" t="s">
        <v>56</v>
      </c>
      <c r="G215">
        <v>168000</v>
      </c>
      <c r="H215" s="1">
        <v>45838</v>
      </c>
      <c r="I215">
        <v>2025</v>
      </c>
      <c r="J215" t="s">
        <v>141</v>
      </c>
      <c r="K215">
        <v>6</v>
      </c>
      <c r="L215" t="s">
        <v>38</v>
      </c>
      <c r="M215" t="s">
        <v>22</v>
      </c>
      <c r="N215" t="s">
        <v>40</v>
      </c>
    </row>
    <row r="216" spans="1:14" x14ac:dyDescent="0.3">
      <c r="A216" t="s">
        <v>251</v>
      </c>
      <c r="B216" t="s">
        <v>94</v>
      </c>
      <c r="C216" t="s">
        <v>146</v>
      </c>
      <c r="D216" t="s">
        <v>17</v>
      </c>
      <c r="E216" t="s">
        <v>364</v>
      </c>
      <c r="F216" t="s">
        <v>19</v>
      </c>
      <c r="G216">
        <v>692000</v>
      </c>
      <c r="H216" s="1">
        <v>44736</v>
      </c>
      <c r="I216">
        <v>2022</v>
      </c>
      <c r="J216" t="s">
        <v>141</v>
      </c>
      <c r="K216">
        <v>6</v>
      </c>
      <c r="L216" t="s">
        <v>21</v>
      </c>
      <c r="M216" t="s">
        <v>22</v>
      </c>
      <c r="N216" t="s">
        <v>40</v>
      </c>
    </row>
    <row r="217" spans="1:14" x14ac:dyDescent="0.3">
      <c r="A217" t="s">
        <v>178</v>
      </c>
      <c r="B217" t="s">
        <v>25</v>
      </c>
      <c r="C217" t="s">
        <v>168</v>
      </c>
      <c r="D217" t="s">
        <v>54</v>
      </c>
      <c r="E217" t="s">
        <v>365</v>
      </c>
      <c r="F217" t="s">
        <v>19</v>
      </c>
      <c r="G217">
        <v>120000</v>
      </c>
      <c r="H217" s="1">
        <v>45348</v>
      </c>
      <c r="I217">
        <v>2024</v>
      </c>
      <c r="J217" t="s">
        <v>108</v>
      </c>
      <c r="K217">
        <v>2</v>
      </c>
      <c r="L217" t="s">
        <v>21</v>
      </c>
      <c r="M217" t="s">
        <v>22</v>
      </c>
      <c r="N217" t="s">
        <v>31</v>
      </c>
    </row>
    <row r="218" spans="1:14" x14ac:dyDescent="0.3">
      <c r="A218" t="s">
        <v>366</v>
      </c>
      <c r="B218" t="s">
        <v>49</v>
      </c>
      <c r="C218" t="s">
        <v>135</v>
      </c>
      <c r="D218" t="s">
        <v>27</v>
      </c>
      <c r="E218" t="s">
        <v>367</v>
      </c>
      <c r="F218" t="s">
        <v>19</v>
      </c>
      <c r="G218">
        <v>166000</v>
      </c>
      <c r="H218" s="1">
        <v>44507</v>
      </c>
      <c r="I218">
        <v>2021</v>
      </c>
      <c r="J218" t="s">
        <v>72</v>
      </c>
      <c r="K218">
        <v>11</v>
      </c>
      <c r="L218" t="s">
        <v>21</v>
      </c>
      <c r="M218" t="s">
        <v>22</v>
      </c>
      <c r="N218" t="s">
        <v>40</v>
      </c>
    </row>
    <row r="219" spans="1:14" x14ac:dyDescent="0.3">
      <c r="A219" t="s">
        <v>100</v>
      </c>
      <c r="B219" t="s">
        <v>42</v>
      </c>
      <c r="C219" t="s">
        <v>43</v>
      </c>
      <c r="D219" t="s">
        <v>44</v>
      </c>
      <c r="E219" t="s">
        <v>200</v>
      </c>
      <c r="F219" t="s">
        <v>132</v>
      </c>
      <c r="G219">
        <v>150998000</v>
      </c>
      <c r="H219" s="1">
        <v>44419</v>
      </c>
      <c r="I219">
        <v>2021</v>
      </c>
      <c r="J219" t="s">
        <v>153</v>
      </c>
      <c r="K219">
        <v>8</v>
      </c>
      <c r="L219" t="s">
        <v>65</v>
      </c>
      <c r="M219" t="s">
        <v>66</v>
      </c>
      <c r="N219" t="s">
        <v>47</v>
      </c>
    </row>
    <row r="220" spans="1:14" x14ac:dyDescent="0.3">
      <c r="A220" t="s">
        <v>368</v>
      </c>
      <c r="B220" t="s">
        <v>186</v>
      </c>
      <c r="C220" t="s">
        <v>149</v>
      </c>
      <c r="D220" t="s">
        <v>44</v>
      </c>
      <c r="E220" t="s">
        <v>369</v>
      </c>
      <c r="F220" t="s">
        <v>103</v>
      </c>
      <c r="G220">
        <v>5808000</v>
      </c>
      <c r="H220" s="1">
        <v>45311</v>
      </c>
      <c r="I220">
        <v>2024</v>
      </c>
      <c r="J220" t="s">
        <v>29</v>
      </c>
      <c r="K220">
        <v>1</v>
      </c>
      <c r="L220" t="s">
        <v>38</v>
      </c>
      <c r="M220" t="s">
        <v>30</v>
      </c>
      <c r="N220" t="s">
        <v>31</v>
      </c>
    </row>
    <row r="221" spans="1:14" x14ac:dyDescent="0.3">
      <c r="A221" t="s">
        <v>370</v>
      </c>
      <c r="B221" t="s">
        <v>68</v>
      </c>
      <c r="C221" t="s">
        <v>324</v>
      </c>
      <c r="D221" t="s">
        <v>27</v>
      </c>
      <c r="E221" t="s">
        <v>371</v>
      </c>
      <c r="F221" t="s">
        <v>92</v>
      </c>
      <c r="G221">
        <v>19590000</v>
      </c>
      <c r="H221" s="1">
        <v>44644</v>
      </c>
      <c r="I221">
        <v>2022</v>
      </c>
      <c r="J221" t="s">
        <v>37</v>
      </c>
      <c r="K221">
        <v>3</v>
      </c>
      <c r="L221" t="s">
        <v>65</v>
      </c>
      <c r="M221" t="s">
        <v>39</v>
      </c>
      <c r="N221" t="s">
        <v>31</v>
      </c>
    </row>
    <row r="222" spans="1:14" x14ac:dyDescent="0.3">
      <c r="A222" t="s">
        <v>323</v>
      </c>
      <c r="B222" t="s">
        <v>81</v>
      </c>
      <c r="C222" t="s">
        <v>250</v>
      </c>
      <c r="D222" t="s">
        <v>34</v>
      </c>
      <c r="E222" t="s">
        <v>200</v>
      </c>
      <c r="F222" t="s">
        <v>103</v>
      </c>
      <c r="G222">
        <v>5935000</v>
      </c>
      <c r="H222" s="1">
        <v>44050</v>
      </c>
      <c r="I222">
        <v>2020</v>
      </c>
      <c r="J222" t="s">
        <v>153</v>
      </c>
      <c r="K222">
        <v>8</v>
      </c>
      <c r="L222" t="s">
        <v>38</v>
      </c>
      <c r="M222" t="s">
        <v>30</v>
      </c>
      <c r="N222" t="s">
        <v>84</v>
      </c>
    </row>
    <row r="223" spans="1:14" x14ac:dyDescent="0.3">
      <c r="A223" t="s">
        <v>161</v>
      </c>
      <c r="B223" t="s">
        <v>105</v>
      </c>
      <c r="C223" t="s">
        <v>119</v>
      </c>
      <c r="D223" t="s">
        <v>34</v>
      </c>
      <c r="E223" t="s">
        <v>63</v>
      </c>
      <c r="F223" t="s">
        <v>19</v>
      </c>
      <c r="G223">
        <v>407000</v>
      </c>
      <c r="H223" s="1">
        <v>44061</v>
      </c>
      <c r="I223">
        <v>2020</v>
      </c>
      <c r="J223" t="s">
        <v>153</v>
      </c>
      <c r="K223">
        <v>8</v>
      </c>
      <c r="L223" t="s">
        <v>21</v>
      </c>
      <c r="M223" t="s">
        <v>22</v>
      </c>
      <c r="N223" t="s">
        <v>23</v>
      </c>
    </row>
    <row r="224" spans="1:14" x14ac:dyDescent="0.3">
      <c r="A224" t="s">
        <v>372</v>
      </c>
      <c r="B224" t="s">
        <v>25</v>
      </c>
      <c r="C224" t="s">
        <v>171</v>
      </c>
      <c r="D224" t="s">
        <v>27</v>
      </c>
      <c r="E224" t="s">
        <v>192</v>
      </c>
      <c r="F224" t="s">
        <v>36</v>
      </c>
      <c r="G224">
        <v>6483000</v>
      </c>
      <c r="H224" s="1">
        <v>45450</v>
      </c>
      <c r="I224">
        <v>2024</v>
      </c>
      <c r="J224" t="s">
        <v>141</v>
      </c>
      <c r="K224">
        <v>6</v>
      </c>
      <c r="L224" t="s">
        <v>38</v>
      </c>
      <c r="M224" t="s">
        <v>30</v>
      </c>
      <c r="N224" t="s">
        <v>31</v>
      </c>
    </row>
    <row r="225" spans="1:14" x14ac:dyDescent="0.3">
      <c r="A225" t="s">
        <v>148</v>
      </c>
      <c r="B225" t="s">
        <v>114</v>
      </c>
      <c r="C225" t="s">
        <v>243</v>
      </c>
      <c r="D225" t="s">
        <v>136</v>
      </c>
      <c r="E225" t="s">
        <v>112</v>
      </c>
      <c r="F225" t="s">
        <v>132</v>
      </c>
      <c r="G225">
        <v>54137000</v>
      </c>
      <c r="H225" s="1">
        <v>44886</v>
      </c>
      <c r="I225">
        <v>2022</v>
      </c>
      <c r="J225" t="s">
        <v>72</v>
      </c>
      <c r="K225">
        <v>11</v>
      </c>
      <c r="L225" t="s">
        <v>65</v>
      </c>
      <c r="M225" t="s">
        <v>39</v>
      </c>
      <c r="N225" t="s">
        <v>47</v>
      </c>
    </row>
    <row r="226" spans="1:14" x14ac:dyDescent="0.3">
      <c r="A226" t="s">
        <v>257</v>
      </c>
      <c r="B226" t="s">
        <v>105</v>
      </c>
      <c r="C226" t="s">
        <v>345</v>
      </c>
      <c r="D226" t="s">
        <v>70</v>
      </c>
      <c r="E226" t="s">
        <v>217</v>
      </c>
      <c r="F226" t="s">
        <v>19</v>
      </c>
      <c r="G226">
        <v>133000</v>
      </c>
      <c r="H226" s="1">
        <v>44339</v>
      </c>
      <c r="I226">
        <v>2021</v>
      </c>
      <c r="J226" t="s">
        <v>77</v>
      </c>
      <c r="K226">
        <v>5</v>
      </c>
      <c r="L226" t="s">
        <v>21</v>
      </c>
      <c r="M226" t="s">
        <v>22</v>
      </c>
      <c r="N226" t="s">
        <v>23</v>
      </c>
    </row>
    <row r="227" spans="1:14" x14ac:dyDescent="0.3">
      <c r="A227" t="s">
        <v>62</v>
      </c>
      <c r="B227" t="s">
        <v>94</v>
      </c>
      <c r="C227" t="s">
        <v>159</v>
      </c>
      <c r="D227" t="s">
        <v>34</v>
      </c>
      <c r="E227" t="s">
        <v>217</v>
      </c>
      <c r="F227" t="s">
        <v>103</v>
      </c>
      <c r="G227">
        <v>1936000</v>
      </c>
      <c r="H227" s="1">
        <v>45004</v>
      </c>
      <c r="I227">
        <v>2023</v>
      </c>
      <c r="J227" t="s">
        <v>37</v>
      </c>
      <c r="K227">
        <v>3</v>
      </c>
      <c r="L227" t="s">
        <v>38</v>
      </c>
      <c r="M227" t="s">
        <v>30</v>
      </c>
      <c r="N227" t="s">
        <v>40</v>
      </c>
    </row>
    <row r="228" spans="1:14" x14ac:dyDescent="0.3">
      <c r="A228" t="s">
        <v>326</v>
      </c>
      <c r="B228" t="s">
        <v>25</v>
      </c>
      <c r="C228" t="s">
        <v>171</v>
      </c>
      <c r="D228" t="s">
        <v>27</v>
      </c>
      <c r="E228" t="s">
        <v>63</v>
      </c>
      <c r="F228" t="s">
        <v>36</v>
      </c>
      <c r="G228">
        <v>74232000</v>
      </c>
      <c r="H228" s="1">
        <v>44784</v>
      </c>
      <c r="I228">
        <v>2022</v>
      </c>
      <c r="J228" t="s">
        <v>153</v>
      </c>
      <c r="K228">
        <v>8</v>
      </c>
      <c r="L228" t="s">
        <v>38</v>
      </c>
      <c r="M228" t="s">
        <v>39</v>
      </c>
      <c r="N228" t="s">
        <v>31</v>
      </c>
    </row>
    <row r="229" spans="1:14" x14ac:dyDescent="0.3">
      <c r="A229" t="s">
        <v>261</v>
      </c>
      <c r="B229" t="s">
        <v>25</v>
      </c>
      <c r="C229" t="s">
        <v>168</v>
      </c>
      <c r="D229" t="s">
        <v>17</v>
      </c>
      <c r="E229" t="s">
        <v>97</v>
      </c>
      <c r="F229" t="s">
        <v>36</v>
      </c>
      <c r="G229">
        <v>14870000</v>
      </c>
      <c r="H229" s="1">
        <v>45757</v>
      </c>
      <c r="I229">
        <v>2025</v>
      </c>
      <c r="J229" t="s">
        <v>20</v>
      </c>
      <c r="K229">
        <v>4</v>
      </c>
      <c r="L229" t="s">
        <v>38</v>
      </c>
      <c r="M229" t="s">
        <v>39</v>
      </c>
      <c r="N229" t="s">
        <v>31</v>
      </c>
    </row>
    <row r="230" spans="1:14" x14ac:dyDescent="0.3">
      <c r="A230" t="s">
        <v>297</v>
      </c>
      <c r="B230" t="s">
        <v>105</v>
      </c>
      <c r="C230" t="s">
        <v>119</v>
      </c>
      <c r="D230" t="s">
        <v>54</v>
      </c>
      <c r="E230" t="s">
        <v>270</v>
      </c>
      <c r="F230" t="s">
        <v>103</v>
      </c>
      <c r="G230">
        <v>11198000</v>
      </c>
      <c r="H230" s="1">
        <v>45071</v>
      </c>
      <c r="I230">
        <v>2023</v>
      </c>
      <c r="J230" t="s">
        <v>77</v>
      </c>
      <c r="K230">
        <v>5</v>
      </c>
      <c r="L230" t="s">
        <v>38</v>
      </c>
      <c r="M230" t="s">
        <v>39</v>
      </c>
      <c r="N230" t="s">
        <v>23</v>
      </c>
    </row>
    <row r="231" spans="1:14" x14ac:dyDescent="0.3">
      <c r="A231" t="s">
        <v>352</v>
      </c>
      <c r="B231" t="s">
        <v>59</v>
      </c>
      <c r="C231" t="s">
        <v>60</v>
      </c>
      <c r="D231" t="s">
        <v>44</v>
      </c>
      <c r="E231" t="s">
        <v>373</v>
      </c>
      <c r="F231" t="s">
        <v>132</v>
      </c>
      <c r="G231">
        <v>110486000</v>
      </c>
      <c r="H231" s="1">
        <v>45224</v>
      </c>
      <c r="I231">
        <v>2023</v>
      </c>
      <c r="J231" t="s">
        <v>89</v>
      </c>
      <c r="K231">
        <v>10</v>
      </c>
      <c r="L231" t="s">
        <v>65</v>
      </c>
      <c r="M231" t="s">
        <v>66</v>
      </c>
      <c r="N231" t="s">
        <v>31</v>
      </c>
    </row>
    <row r="232" spans="1:14" x14ac:dyDescent="0.3">
      <c r="A232" t="s">
        <v>277</v>
      </c>
      <c r="B232" t="s">
        <v>86</v>
      </c>
      <c r="C232" t="s">
        <v>283</v>
      </c>
      <c r="D232" t="s">
        <v>75</v>
      </c>
      <c r="E232" t="s">
        <v>374</v>
      </c>
      <c r="F232" t="s">
        <v>19</v>
      </c>
      <c r="G232">
        <v>938000</v>
      </c>
      <c r="H232" s="1">
        <v>45528</v>
      </c>
      <c r="I232">
        <v>2024</v>
      </c>
      <c r="J232" t="s">
        <v>153</v>
      </c>
      <c r="K232">
        <v>8</v>
      </c>
      <c r="L232" t="s">
        <v>21</v>
      </c>
      <c r="M232" t="s">
        <v>22</v>
      </c>
      <c r="N232" t="s">
        <v>47</v>
      </c>
    </row>
    <row r="233" spans="1:14" x14ac:dyDescent="0.3">
      <c r="A233" t="s">
        <v>120</v>
      </c>
      <c r="B233" t="s">
        <v>114</v>
      </c>
      <c r="C233" t="s">
        <v>243</v>
      </c>
      <c r="D233" t="s">
        <v>70</v>
      </c>
      <c r="E233" t="s">
        <v>375</v>
      </c>
      <c r="F233" t="s">
        <v>19</v>
      </c>
      <c r="G233">
        <v>319000</v>
      </c>
      <c r="H233" s="1">
        <v>44251</v>
      </c>
      <c r="I233">
        <v>2021</v>
      </c>
      <c r="J233" t="s">
        <v>108</v>
      </c>
      <c r="K233">
        <v>2</v>
      </c>
      <c r="L233" t="s">
        <v>21</v>
      </c>
      <c r="M233" t="s">
        <v>22</v>
      </c>
      <c r="N233" t="s">
        <v>47</v>
      </c>
    </row>
    <row r="234" spans="1:14" x14ac:dyDescent="0.3">
      <c r="A234" t="s">
        <v>376</v>
      </c>
      <c r="B234" t="s">
        <v>32</v>
      </c>
      <c r="C234" t="s">
        <v>138</v>
      </c>
      <c r="D234" t="s">
        <v>70</v>
      </c>
      <c r="E234" t="s">
        <v>199</v>
      </c>
      <c r="F234" t="s">
        <v>103</v>
      </c>
      <c r="G234">
        <v>4770000</v>
      </c>
      <c r="H234" s="1">
        <v>44975</v>
      </c>
      <c r="I234">
        <v>2023</v>
      </c>
      <c r="J234" t="s">
        <v>108</v>
      </c>
      <c r="K234">
        <v>2</v>
      </c>
      <c r="L234" t="s">
        <v>38</v>
      </c>
      <c r="M234" t="s">
        <v>30</v>
      </c>
      <c r="N234" t="s">
        <v>40</v>
      </c>
    </row>
    <row r="235" spans="1:14" x14ac:dyDescent="0.3">
      <c r="A235" t="s">
        <v>224</v>
      </c>
      <c r="B235" t="s">
        <v>114</v>
      </c>
      <c r="C235" t="s">
        <v>156</v>
      </c>
      <c r="D235" t="s">
        <v>44</v>
      </c>
      <c r="E235" t="s">
        <v>377</v>
      </c>
      <c r="F235" t="s">
        <v>103</v>
      </c>
      <c r="G235">
        <v>3795000</v>
      </c>
      <c r="H235" s="1">
        <v>43923</v>
      </c>
      <c r="I235">
        <v>2020</v>
      </c>
      <c r="J235" t="s">
        <v>20</v>
      </c>
      <c r="K235">
        <v>4</v>
      </c>
      <c r="L235" t="s">
        <v>38</v>
      </c>
      <c r="M235" t="s">
        <v>30</v>
      </c>
      <c r="N235" t="s">
        <v>47</v>
      </c>
    </row>
    <row r="236" spans="1:14" x14ac:dyDescent="0.3">
      <c r="A236" t="s">
        <v>368</v>
      </c>
      <c r="B236" t="s">
        <v>186</v>
      </c>
      <c r="C236" t="s">
        <v>60</v>
      </c>
      <c r="D236" t="s">
        <v>27</v>
      </c>
      <c r="E236" t="s">
        <v>293</v>
      </c>
      <c r="F236" t="s">
        <v>19</v>
      </c>
      <c r="G236">
        <v>103000</v>
      </c>
      <c r="H236" s="1">
        <v>44199</v>
      </c>
      <c r="I236">
        <v>2021</v>
      </c>
      <c r="J236" t="s">
        <v>29</v>
      </c>
      <c r="K236">
        <v>1</v>
      </c>
      <c r="L236" t="s">
        <v>21</v>
      </c>
      <c r="M236" t="s">
        <v>22</v>
      </c>
      <c r="N236" t="s">
        <v>31</v>
      </c>
    </row>
    <row r="237" spans="1:14" x14ac:dyDescent="0.3">
      <c r="A237" t="s">
        <v>173</v>
      </c>
      <c r="B237" t="s">
        <v>68</v>
      </c>
      <c r="C237" t="s">
        <v>69</v>
      </c>
      <c r="D237" t="s">
        <v>136</v>
      </c>
      <c r="E237" t="s">
        <v>378</v>
      </c>
      <c r="F237" t="s">
        <v>56</v>
      </c>
      <c r="G237">
        <v>528000</v>
      </c>
      <c r="H237" s="1">
        <v>45229</v>
      </c>
      <c r="I237">
        <v>2023</v>
      </c>
      <c r="J237" t="s">
        <v>89</v>
      </c>
      <c r="K237">
        <v>10</v>
      </c>
      <c r="L237" t="s">
        <v>38</v>
      </c>
      <c r="M237" t="s">
        <v>22</v>
      </c>
      <c r="N237" t="s">
        <v>31</v>
      </c>
    </row>
    <row r="238" spans="1:14" x14ac:dyDescent="0.3">
      <c r="A238" t="s">
        <v>14</v>
      </c>
      <c r="B238" t="s">
        <v>105</v>
      </c>
      <c r="C238" t="s">
        <v>119</v>
      </c>
      <c r="D238" t="s">
        <v>111</v>
      </c>
      <c r="E238" t="s">
        <v>242</v>
      </c>
      <c r="F238" t="s">
        <v>19</v>
      </c>
      <c r="G238">
        <v>141000</v>
      </c>
      <c r="H238" s="1">
        <v>45835</v>
      </c>
      <c r="I238">
        <v>2025</v>
      </c>
      <c r="J238" t="s">
        <v>141</v>
      </c>
      <c r="K238">
        <v>6</v>
      </c>
      <c r="L238" t="s">
        <v>21</v>
      </c>
      <c r="M238" t="s">
        <v>22</v>
      </c>
      <c r="N238" t="s">
        <v>23</v>
      </c>
    </row>
    <row r="239" spans="1:14" x14ac:dyDescent="0.3">
      <c r="A239" t="s">
        <v>224</v>
      </c>
      <c r="B239" t="s">
        <v>42</v>
      </c>
      <c r="C239" t="s">
        <v>205</v>
      </c>
      <c r="D239" t="s">
        <v>111</v>
      </c>
      <c r="E239" t="s">
        <v>217</v>
      </c>
      <c r="F239" t="s">
        <v>56</v>
      </c>
      <c r="G239">
        <v>106000</v>
      </c>
      <c r="H239" s="1">
        <v>44607</v>
      </c>
      <c r="I239">
        <v>2022</v>
      </c>
      <c r="J239" t="s">
        <v>108</v>
      </c>
      <c r="K239">
        <v>2</v>
      </c>
      <c r="L239" t="s">
        <v>38</v>
      </c>
      <c r="M239" t="s">
        <v>22</v>
      </c>
      <c r="N239" t="s">
        <v>47</v>
      </c>
    </row>
    <row r="240" spans="1:14" x14ac:dyDescent="0.3">
      <c r="A240" t="s">
        <v>379</v>
      </c>
      <c r="B240" t="s">
        <v>15</v>
      </c>
      <c r="C240" t="s">
        <v>74</v>
      </c>
      <c r="D240" t="s">
        <v>27</v>
      </c>
      <c r="E240" t="s">
        <v>380</v>
      </c>
      <c r="F240" t="s">
        <v>132</v>
      </c>
      <c r="G240">
        <v>114859000</v>
      </c>
      <c r="H240" s="1">
        <v>44689</v>
      </c>
      <c r="I240">
        <v>2022</v>
      </c>
      <c r="J240" t="s">
        <v>77</v>
      </c>
      <c r="K240">
        <v>5</v>
      </c>
      <c r="L240" t="s">
        <v>65</v>
      </c>
      <c r="M240" t="s">
        <v>66</v>
      </c>
      <c r="N240" t="s">
        <v>23</v>
      </c>
    </row>
    <row r="241" spans="1:14" x14ac:dyDescent="0.3">
      <c r="A241" t="s">
        <v>276</v>
      </c>
      <c r="B241" t="s">
        <v>15</v>
      </c>
      <c r="C241" t="s">
        <v>16</v>
      </c>
      <c r="D241" t="s">
        <v>17</v>
      </c>
      <c r="E241" t="s">
        <v>381</v>
      </c>
      <c r="F241" t="s">
        <v>19</v>
      </c>
      <c r="G241">
        <v>96000</v>
      </c>
      <c r="H241" s="1">
        <v>43899</v>
      </c>
      <c r="I241">
        <v>2020</v>
      </c>
      <c r="J241" t="s">
        <v>37</v>
      </c>
      <c r="K241">
        <v>3</v>
      </c>
      <c r="L241" t="s">
        <v>21</v>
      </c>
      <c r="M241" t="s">
        <v>22</v>
      </c>
      <c r="N241" t="s">
        <v>23</v>
      </c>
    </row>
    <row r="242" spans="1:14" x14ac:dyDescent="0.3">
      <c r="A242" t="s">
        <v>382</v>
      </c>
      <c r="B242" t="s">
        <v>15</v>
      </c>
      <c r="C242" t="s">
        <v>74</v>
      </c>
      <c r="D242" t="s">
        <v>136</v>
      </c>
      <c r="E242" t="s">
        <v>293</v>
      </c>
      <c r="F242" t="s">
        <v>103</v>
      </c>
      <c r="G242">
        <v>12766000</v>
      </c>
      <c r="H242" s="1">
        <v>44936</v>
      </c>
      <c r="I242">
        <v>2023</v>
      </c>
      <c r="J242" t="s">
        <v>29</v>
      </c>
      <c r="K242">
        <v>1</v>
      </c>
      <c r="L242" t="s">
        <v>38</v>
      </c>
      <c r="M242" t="s">
        <v>39</v>
      </c>
      <c r="N242" t="s">
        <v>23</v>
      </c>
    </row>
    <row r="243" spans="1:14" x14ac:dyDescent="0.3">
      <c r="A243" t="s">
        <v>376</v>
      </c>
      <c r="B243" t="s">
        <v>94</v>
      </c>
      <c r="C243" t="s">
        <v>95</v>
      </c>
      <c r="D243" t="s">
        <v>75</v>
      </c>
      <c r="E243" t="s">
        <v>131</v>
      </c>
      <c r="F243" t="s">
        <v>19</v>
      </c>
      <c r="G243">
        <v>1687000</v>
      </c>
      <c r="H243" s="1">
        <v>45055</v>
      </c>
      <c r="I243">
        <v>2023</v>
      </c>
      <c r="J243" t="s">
        <v>77</v>
      </c>
      <c r="K243">
        <v>5</v>
      </c>
      <c r="L243" t="s">
        <v>21</v>
      </c>
      <c r="M243" t="s">
        <v>30</v>
      </c>
      <c r="N243" t="s">
        <v>40</v>
      </c>
    </row>
    <row r="244" spans="1:14" x14ac:dyDescent="0.3">
      <c r="A244" t="s">
        <v>297</v>
      </c>
      <c r="B244" t="s">
        <v>94</v>
      </c>
      <c r="C244" t="s">
        <v>95</v>
      </c>
      <c r="D244" t="s">
        <v>111</v>
      </c>
      <c r="E244" t="s">
        <v>383</v>
      </c>
      <c r="F244" t="s">
        <v>188</v>
      </c>
      <c r="G244">
        <v>1461000</v>
      </c>
      <c r="H244" s="1">
        <v>45632</v>
      </c>
      <c r="I244">
        <v>2024</v>
      </c>
      <c r="J244" t="s">
        <v>99</v>
      </c>
      <c r="K244">
        <v>12</v>
      </c>
      <c r="L244" t="s">
        <v>38</v>
      </c>
      <c r="M244" t="s">
        <v>30</v>
      </c>
      <c r="N244" t="s">
        <v>40</v>
      </c>
    </row>
    <row r="245" spans="1:14" x14ac:dyDescent="0.3">
      <c r="A245" t="s">
        <v>384</v>
      </c>
      <c r="B245" t="s">
        <v>86</v>
      </c>
      <c r="C245" t="s">
        <v>339</v>
      </c>
      <c r="D245" t="s">
        <v>111</v>
      </c>
      <c r="E245" t="s">
        <v>385</v>
      </c>
      <c r="F245" t="s">
        <v>19</v>
      </c>
      <c r="G245">
        <v>196000</v>
      </c>
      <c r="H245" s="1">
        <v>44683</v>
      </c>
      <c r="I245">
        <v>2022</v>
      </c>
      <c r="J245" t="s">
        <v>77</v>
      </c>
      <c r="K245">
        <v>5</v>
      </c>
      <c r="L245" t="s">
        <v>21</v>
      </c>
      <c r="M245" t="s">
        <v>22</v>
      </c>
      <c r="N245" t="s">
        <v>47</v>
      </c>
    </row>
    <row r="246" spans="1:14" x14ac:dyDescent="0.3">
      <c r="A246" t="s">
        <v>41</v>
      </c>
      <c r="B246" t="s">
        <v>15</v>
      </c>
      <c r="C246" t="s">
        <v>110</v>
      </c>
      <c r="D246" t="s">
        <v>54</v>
      </c>
      <c r="E246" t="s">
        <v>192</v>
      </c>
      <c r="F246" t="s">
        <v>132</v>
      </c>
      <c r="G246">
        <v>20855000</v>
      </c>
      <c r="H246" s="1">
        <v>45704</v>
      </c>
      <c r="I246">
        <v>2025</v>
      </c>
      <c r="J246" t="s">
        <v>108</v>
      </c>
      <c r="K246">
        <v>2</v>
      </c>
      <c r="L246" t="s">
        <v>65</v>
      </c>
      <c r="M246" t="s">
        <v>39</v>
      </c>
      <c r="N246" t="s">
        <v>23</v>
      </c>
    </row>
    <row r="247" spans="1:14" x14ac:dyDescent="0.3">
      <c r="A247" t="s">
        <v>347</v>
      </c>
      <c r="B247" t="s">
        <v>105</v>
      </c>
      <c r="C247" t="s">
        <v>119</v>
      </c>
      <c r="D247" t="s">
        <v>44</v>
      </c>
      <c r="E247" t="s">
        <v>386</v>
      </c>
      <c r="F247" t="s">
        <v>19</v>
      </c>
      <c r="G247">
        <v>1535000</v>
      </c>
      <c r="H247" s="1">
        <v>44507</v>
      </c>
      <c r="I247">
        <v>2021</v>
      </c>
      <c r="J247" t="s">
        <v>72</v>
      </c>
      <c r="K247">
        <v>11</v>
      </c>
      <c r="L247" t="s">
        <v>21</v>
      </c>
      <c r="M247" t="s">
        <v>30</v>
      </c>
      <c r="N247" t="s">
        <v>23</v>
      </c>
    </row>
    <row r="248" spans="1:14" x14ac:dyDescent="0.3">
      <c r="A248" t="s">
        <v>387</v>
      </c>
      <c r="B248" t="s">
        <v>68</v>
      </c>
      <c r="C248" t="s">
        <v>149</v>
      </c>
      <c r="D248" t="s">
        <v>75</v>
      </c>
      <c r="E248" t="s">
        <v>63</v>
      </c>
      <c r="F248" t="s">
        <v>103</v>
      </c>
      <c r="G248">
        <v>3188000</v>
      </c>
      <c r="H248" s="1">
        <v>45620</v>
      </c>
      <c r="I248">
        <v>2024</v>
      </c>
      <c r="J248" t="s">
        <v>72</v>
      </c>
      <c r="K248">
        <v>11</v>
      </c>
      <c r="L248" t="s">
        <v>38</v>
      </c>
      <c r="M248" t="s">
        <v>30</v>
      </c>
      <c r="N248" t="s">
        <v>31</v>
      </c>
    </row>
    <row r="249" spans="1:14" x14ac:dyDescent="0.3">
      <c r="A249" t="s">
        <v>281</v>
      </c>
      <c r="B249" t="s">
        <v>114</v>
      </c>
      <c r="C249" t="s">
        <v>115</v>
      </c>
      <c r="D249" t="s">
        <v>34</v>
      </c>
      <c r="E249" t="s">
        <v>234</v>
      </c>
      <c r="F249" t="s">
        <v>188</v>
      </c>
      <c r="G249">
        <v>1769000</v>
      </c>
      <c r="H249" s="1">
        <v>43862</v>
      </c>
      <c r="I249">
        <v>2020</v>
      </c>
      <c r="J249" t="s">
        <v>108</v>
      </c>
      <c r="K249">
        <v>2</v>
      </c>
      <c r="L249" t="s">
        <v>38</v>
      </c>
      <c r="M249" t="s">
        <v>30</v>
      </c>
      <c r="N249" t="s">
        <v>47</v>
      </c>
    </row>
    <row r="250" spans="1:14" x14ac:dyDescent="0.3">
      <c r="A250" t="s">
        <v>14</v>
      </c>
      <c r="B250" t="s">
        <v>25</v>
      </c>
      <c r="C250" t="s">
        <v>168</v>
      </c>
      <c r="D250" t="s">
        <v>44</v>
      </c>
      <c r="E250" t="s">
        <v>270</v>
      </c>
      <c r="F250" t="s">
        <v>36</v>
      </c>
      <c r="G250">
        <v>72324000</v>
      </c>
      <c r="H250" s="1">
        <v>45272</v>
      </c>
      <c r="I250">
        <v>2023</v>
      </c>
      <c r="J250" t="s">
        <v>99</v>
      </c>
      <c r="K250">
        <v>12</v>
      </c>
      <c r="L250" t="s">
        <v>38</v>
      </c>
      <c r="M250" t="s">
        <v>39</v>
      </c>
      <c r="N250" t="s">
        <v>31</v>
      </c>
    </row>
    <row r="251" spans="1:14" x14ac:dyDescent="0.3">
      <c r="A251" t="s">
        <v>189</v>
      </c>
      <c r="B251" t="s">
        <v>59</v>
      </c>
      <c r="C251" t="s">
        <v>149</v>
      </c>
      <c r="D251" t="s">
        <v>136</v>
      </c>
      <c r="E251" t="s">
        <v>301</v>
      </c>
      <c r="F251" t="s">
        <v>103</v>
      </c>
      <c r="G251">
        <v>10074000</v>
      </c>
      <c r="H251" s="1">
        <v>45159</v>
      </c>
      <c r="I251">
        <v>2023</v>
      </c>
      <c r="J251" t="s">
        <v>153</v>
      </c>
      <c r="K251">
        <v>8</v>
      </c>
      <c r="L251" t="s">
        <v>38</v>
      </c>
      <c r="M251" t="s">
        <v>39</v>
      </c>
      <c r="N251" t="s">
        <v>31</v>
      </c>
    </row>
    <row r="252" spans="1:14" x14ac:dyDescent="0.3">
      <c r="A252" t="s">
        <v>326</v>
      </c>
      <c r="B252" t="s">
        <v>32</v>
      </c>
      <c r="C252" t="s">
        <v>138</v>
      </c>
      <c r="D252" t="s">
        <v>70</v>
      </c>
      <c r="E252" t="s">
        <v>388</v>
      </c>
      <c r="F252" t="s">
        <v>19</v>
      </c>
      <c r="G252">
        <v>148000</v>
      </c>
      <c r="H252" s="1">
        <v>45310</v>
      </c>
      <c r="I252">
        <v>2024</v>
      </c>
      <c r="J252" t="s">
        <v>29</v>
      </c>
      <c r="K252">
        <v>1</v>
      </c>
      <c r="L252" t="s">
        <v>21</v>
      </c>
      <c r="M252" t="s">
        <v>22</v>
      </c>
      <c r="N252" t="s">
        <v>40</v>
      </c>
    </row>
    <row r="253" spans="1:14" x14ac:dyDescent="0.3">
      <c r="A253" t="s">
        <v>85</v>
      </c>
      <c r="B253" t="s">
        <v>68</v>
      </c>
      <c r="C253" t="s">
        <v>324</v>
      </c>
      <c r="D253" t="s">
        <v>75</v>
      </c>
      <c r="E253" t="s">
        <v>157</v>
      </c>
      <c r="F253" t="s">
        <v>64</v>
      </c>
      <c r="G253">
        <v>138147000</v>
      </c>
      <c r="H253" s="1">
        <v>45349</v>
      </c>
      <c r="I253">
        <v>2024</v>
      </c>
      <c r="J253" t="s">
        <v>108</v>
      </c>
      <c r="K253">
        <v>2</v>
      </c>
      <c r="L253" t="s">
        <v>65</v>
      </c>
      <c r="M253" t="s">
        <v>66</v>
      </c>
      <c r="N253" t="s">
        <v>31</v>
      </c>
    </row>
    <row r="254" spans="1:14" x14ac:dyDescent="0.3">
      <c r="A254" t="s">
        <v>347</v>
      </c>
      <c r="B254" t="s">
        <v>15</v>
      </c>
      <c r="C254" t="s">
        <v>110</v>
      </c>
      <c r="D254" t="s">
        <v>44</v>
      </c>
      <c r="E254" t="s">
        <v>226</v>
      </c>
      <c r="F254" t="s">
        <v>56</v>
      </c>
      <c r="G254">
        <v>710000</v>
      </c>
      <c r="H254" s="1">
        <v>45537</v>
      </c>
      <c r="I254">
        <v>2024</v>
      </c>
      <c r="J254" t="s">
        <v>46</v>
      </c>
      <c r="K254">
        <v>9</v>
      </c>
      <c r="L254" t="s">
        <v>38</v>
      </c>
      <c r="M254" t="s">
        <v>22</v>
      </c>
      <c r="N254" t="s">
        <v>23</v>
      </c>
    </row>
    <row r="255" spans="1:14" x14ac:dyDescent="0.3">
      <c r="A255" t="s">
        <v>184</v>
      </c>
      <c r="B255" t="s">
        <v>114</v>
      </c>
      <c r="C255" t="s">
        <v>115</v>
      </c>
      <c r="D255" t="s">
        <v>70</v>
      </c>
      <c r="E255" t="s">
        <v>63</v>
      </c>
      <c r="F255" t="s">
        <v>103</v>
      </c>
      <c r="G255">
        <v>2359000</v>
      </c>
      <c r="H255" s="1">
        <v>45331</v>
      </c>
      <c r="I255">
        <v>2024</v>
      </c>
      <c r="J255" t="s">
        <v>108</v>
      </c>
      <c r="K255">
        <v>2</v>
      </c>
      <c r="L255" t="s">
        <v>38</v>
      </c>
      <c r="M255" t="s">
        <v>30</v>
      </c>
      <c r="N255" t="s">
        <v>47</v>
      </c>
    </row>
    <row r="256" spans="1:14" x14ac:dyDescent="0.3">
      <c r="A256" t="s">
        <v>272</v>
      </c>
      <c r="B256" t="s">
        <v>32</v>
      </c>
      <c r="C256" t="s">
        <v>101</v>
      </c>
      <c r="D256" t="s">
        <v>27</v>
      </c>
      <c r="E256" t="s">
        <v>234</v>
      </c>
      <c r="F256" t="s">
        <v>103</v>
      </c>
      <c r="G256">
        <v>1582000</v>
      </c>
      <c r="H256" s="1">
        <v>45549</v>
      </c>
      <c r="I256">
        <v>2024</v>
      </c>
      <c r="J256" t="s">
        <v>46</v>
      </c>
      <c r="K256">
        <v>9</v>
      </c>
      <c r="L256" t="s">
        <v>38</v>
      </c>
      <c r="M256" t="s">
        <v>30</v>
      </c>
      <c r="N256" t="s">
        <v>40</v>
      </c>
    </row>
    <row r="257" spans="1:14" x14ac:dyDescent="0.3">
      <c r="A257" t="s">
        <v>382</v>
      </c>
      <c r="B257" t="s">
        <v>59</v>
      </c>
      <c r="C257" t="s">
        <v>123</v>
      </c>
      <c r="D257" t="s">
        <v>136</v>
      </c>
      <c r="E257" t="s">
        <v>121</v>
      </c>
      <c r="F257" t="s">
        <v>19</v>
      </c>
      <c r="G257">
        <v>390000</v>
      </c>
      <c r="H257" s="1">
        <v>45122</v>
      </c>
      <c r="I257">
        <v>2023</v>
      </c>
      <c r="J257" t="s">
        <v>57</v>
      </c>
      <c r="K257">
        <v>7</v>
      </c>
      <c r="L257" t="s">
        <v>21</v>
      </c>
      <c r="M257" t="s">
        <v>22</v>
      </c>
      <c r="N257" t="s">
        <v>31</v>
      </c>
    </row>
    <row r="258" spans="1:14" x14ac:dyDescent="0.3">
      <c r="A258" t="s">
        <v>389</v>
      </c>
      <c r="B258" t="s">
        <v>32</v>
      </c>
      <c r="C258" t="s">
        <v>138</v>
      </c>
      <c r="D258" t="s">
        <v>96</v>
      </c>
      <c r="E258" t="s">
        <v>390</v>
      </c>
      <c r="F258" t="s">
        <v>19</v>
      </c>
      <c r="G258">
        <v>1580000</v>
      </c>
      <c r="H258" s="1">
        <v>45137</v>
      </c>
      <c r="I258">
        <v>2023</v>
      </c>
      <c r="J258" t="s">
        <v>57</v>
      </c>
      <c r="K258">
        <v>7</v>
      </c>
      <c r="L258" t="s">
        <v>21</v>
      </c>
      <c r="M258" t="s">
        <v>30</v>
      </c>
      <c r="N258" t="s">
        <v>40</v>
      </c>
    </row>
    <row r="259" spans="1:14" x14ac:dyDescent="0.3">
      <c r="A259" t="s">
        <v>276</v>
      </c>
      <c r="B259" t="s">
        <v>81</v>
      </c>
      <c r="C259" t="s">
        <v>82</v>
      </c>
      <c r="D259" t="s">
        <v>111</v>
      </c>
      <c r="E259" t="s">
        <v>356</v>
      </c>
      <c r="F259" t="s">
        <v>56</v>
      </c>
      <c r="G259">
        <v>497000</v>
      </c>
      <c r="H259" s="1">
        <v>43865</v>
      </c>
      <c r="I259">
        <v>2020</v>
      </c>
      <c r="J259" t="s">
        <v>108</v>
      </c>
      <c r="K259">
        <v>2</v>
      </c>
      <c r="L259" t="s">
        <v>38</v>
      </c>
      <c r="M259" t="s">
        <v>22</v>
      </c>
      <c r="N259" t="s">
        <v>84</v>
      </c>
    </row>
    <row r="260" spans="1:14" x14ac:dyDescent="0.3">
      <c r="A260" t="s">
        <v>391</v>
      </c>
      <c r="B260" t="s">
        <v>114</v>
      </c>
      <c r="C260" t="s">
        <v>243</v>
      </c>
      <c r="D260" t="s">
        <v>136</v>
      </c>
      <c r="E260" t="s">
        <v>112</v>
      </c>
      <c r="F260" t="s">
        <v>132</v>
      </c>
      <c r="G260">
        <v>93643000</v>
      </c>
      <c r="H260" s="1">
        <v>45694</v>
      </c>
      <c r="I260">
        <v>2025</v>
      </c>
      <c r="J260" t="s">
        <v>108</v>
      </c>
      <c r="K260">
        <v>2</v>
      </c>
      <c r="L260" t="s">
        <v>65</v>
      </c>
      <c r="M260" t="s">
        <v>39</v>
      </c>
      <c r="N260" t="s">
        <v>47</v>
      </c>
    </row>
    <row r="261" spans="1:14" x14ac:dyDescent="0.3">
      <c r="A261" t="s">
        <v>257</v>
      </c>
      <c r="B261" t="s">
        <v>32</v>
      </c>
      <c r="C261" t="s">
        <v>33</v>
      </c>
      <c r="D261" t="s">
        <v>44</v>
      </c>
      <c r="E261" t="s">
        <v>242</v>
      </c>
      <c r="F261" t="s">
        <v>19</v>
      </c>
      <c r="G261">
        <v>72000</v>
      </c>
      <c r="H261" s="1">
        <v>44909</v>
      </c>
      <c r="I261">
        <v>2022</v>
      </c>
      <c r="J261" t="s">
        <v>99</v>
      </c>
      <c r="K261">
        <v>12</v>
      </c>
      <c r="L261" t="s">
        <v>21</v>
      </c>
      <c r="M261" t="s">
        <v>22</v>
      </c>
      <c r="N261" t="s">
        <v>40</v>
      </c>
    </row>
    <row r="262" spans="1:14" x14ac:dyDescent="0.3">
      <c r="A262" t="s">
        <v>331</v>
      </c>
      <c r="B262" t="s">
        <v>186</v>
      </c>
      <c r="C262" t="s">
        <v>341</v>
      </c>
      <c r="D262" t="s">
        <v>136</v>
      </c>
      <c r="E262" t="s">
        <v>392</v>
      </c>
      <c r="F262" t="s">
        <v>103</v>
      </c>
      <c r="G262">
        <v>5288000</v>
      </c>
      <c r="H262" s="1">
        <v>44329</v>
      </c>
      <c r="I262">
        <v>2021</v>
      </c>
      <c r="J262" t="s">
        <v>77</v>
      </c>
      <c r="K262">
        <v>5</v>
      </c>
      <c r="L262" t="s">
        <v>38</v>
      </c>
      <c r="M262" t="s">
        <v>30</v>
      </c>
      <c r="N262" t="s">
        <v>31</v>
      </c>
    </row>
    <row r="263" spans="1:14" x14ac:dyDescent="0.3">
      <c r="A263" t="s">
        <v>393</v>
      </c>
      <c r="B263" t="s">
        <v>68</v>
      </c>
      <c r="C263" t="s">
        <v>69</v>
      </c>
      <c r="D263" t="s">
        <v>111</v>
      </c>
      <c r="E263" t="s">
        <v>140</v>
      </c>
      <c r="F263" t="s">
        <v>103</v>
      </c>
      <c r="G263">
        <v>14601000</v>
      </c>
      <c r="H263" s="1">
        <v>45135</v>
      </c>
      <c r="I263">
        <v>2023</v>
      </c>
      <c r="J263" t="s">
        <v>57</v>
      </c>
      <c r="K263">
        <v>7</v>
      </c>
      <c r="L263" t="s">
        <v>38</v>
      </c>
      <c r="M263" t="s">
        <v>39</v>
      </c>
      <c r="N263" t="s">
        <v>31</v>
      </c>
    </row>
    <row r="264" spans="1:14" x14ac:dyDescent="0.3">
      <c r="A264" t="s">
        <v>394</v>
      </c>
      <c r="B264" t="s">
        <v>68</v>
      </c>
      <c r="C264" t="s">
        <v>149</v>
      </c>
      <c r="D264" t="s">
        <v>96</v>
      </c>
      <c r="E264" t="s">
        <v>369</v>
      </c>
      <c r="F264" t="s">
        <v>103</v>
      </c>
      <c r="G264">
        <v>1461000</v>
      </c>
      <c r="H264" s="1">
        <v>45588</v>
      </c>
      <c r="I264">
        <v>2024</v>
      </c>
      <c r="J264" t="s">
        <v>89</v>
      </c>
      <c r="K264">
        <v>10</v>
      </c>
      <c r="L264" t="s">
        <v>38</v>
      </c>
      <c r="M264" t="s">
        <v>30</v>
      </c>
      <c r="N264" t="s">
        <v>31</v>
      </c>
    </row>
    <row r="265" spans="1:14" x14ac:dyDescent="0.3">
      <c r="A265" t="s">
        <v>223</v>
      </c>
      <c r="B265" t="s">
        <v>15</v>
      </c>
      <c r="C265" t="s">
        <v>16</v>
      </c>
      <c r="D265" t="s">
        <v>75</v>
      </c>
      <c r="E265" t="s">
        <v>315</v>
      </c>
      <c r="F265" t="s">
        <v>103</v>
      </c>
      <c r="G265">
        <v>4070000</v>
      </c>
      <c r="H265" s="1">
        <v>43926</v>
      </c>
      <c r="I265">
        <v>2020</v>
      </c>
      <c r="J265" t="s">
        <v>20</v>
      </c>
      <c r="K265">
        <v>4</v>
      </c>
      <c r="L265" t="s">
        <v>38</v>
      </c>
      <c r="M265" t="s">
        <v>30</v>
      </c>
      <c r="N265" t="s">
        <v>23</v>
      </c>
    </row>
    <row r="266" spans="1:14" x14ac:dyDescent="0.3">
      <c r="A266" t="s">
        <v>137</v>
      </c>
      <c r="B266" t="s">
        <v>126</v>
      </c>
      <c r="C266" t="s">
        <v>127</v>
      </c>
      <c r="D266" t="s">
        <v>27</v>
      </c>
      <c r="E266" t="s">
        <v>157</v>
      </c>
      <c r="F266" t="s">
        <v>19</v>
      </c>
      <c r="G266">
        <v>1272000</v>
      </c>
      <c r="H266" s="1">
        <v>45572</v>
      </c>
      <c r="I266">
        <v>2024</v>
      </c>
      <c r="J266" t="s">
        <v>89</v>
      </c>
      <c r="K266">
        <v>10</v>
      </c>
      <c r="L266" t="s">
        <v>21</v>
      </c>
      <c r="M266" t="s">
        <v>30</v>
      </c>
      <c r="N266" t="s">
        <v>40</v>
      </c>
    </row>
    <row r="267" spans="1:14" x14ac:dyDescent="0.3">
      <c r="A267" t="s">
        <v>109</v>
      </c>
      <c r="B267" t="s">
        <v>59</v>
      </c>
      <c r="C267" t="s">
        <v>60</v>
      </c>
      <c r="D267" t="s">
        <v>136</v>
      </c>
      <c r="E267" t="s">
        <v>192</v>
      </c>
      <c r="F267" t="s">
        <v>128</v>
      </c>
      <c r="G267">
        <v>46000</v>
      </c>
      <c r="H267" s="1">
        <v>44443</v>
      </c>
      <c r="I267">
        <v>2021</v>
      </c>
      <c r="J267" t="s">
        <v>46</v>
      </c>
      <c r="K267">
        <v>9</v>
      </c>
      <c r="L267" t="s">
        <v>21</v>
      </c>
      <c r="M267" t="s">
        <v>22</v>
      </c>
      <c r="N267" t="s">
        <v>31</v>
      </c>
    </row>
    <row r="268" spans="1:14" x14ac:dyDescent="0.3">
      <c r="A268" t="s">
        <v>395</v>
      </c>
      <c r="B268" t="s">
        <v>32</v>
      </c>
      <c r="C268" t="s">
        <v>138</v>
      </c>
      <c r="D268" t="s">
        <v>136</v>
      </c>
      <c r="E268" t="s">
        <v>396</v>
      </c>
      <c r="F268" t="s">
        <v>132</v>
      </c>
      <c r="G268">
        <v>132064000</v>
      </c>
      <c r="H268" s="1">
        <v>44117</v>
      </c>
      <c r="I268">
        <v>2020</v>
      </c>
      <c r="J268" t="s">
        <v>89</v>
      </c>
      <c r="K268">
        <v>10</v>
      </c>
      <c r="L268" t="s">
        <v>65</v>
      </c>
      <c r="M268" t="s">
        <v>66</v>
      </c>
      <c r="N268" t="s">
        <v>40</v>
      </c>
    </row>
    <row r="269" spans="1:14" x14ac:dyDescent="0.3">
      <c r="A269" t="s">
        <v>48</v>
      </c>
      <c r="B269" t="s">
        <v>186</v>
      </c>
      <c r="C269" t="s">
        <v>60</v>
      </c>
      <c r="D269" t="s">
        <v>44</v>
      </c>
      <c r="E269" t="s">
        <v>397</v>
      </c>
      <c r="F269" t="s">
        <v>175</v>
      </c>
      <c r="G269">
        <v>252031000</v>
      </c>
      <c r="H269" s="1">
        <v>44528</v>
      </c>
      <c r="I269">
        <v>2021</v>
      </c>
      <c r="J269" t="s">
        <v>72</v>
      </c>
      <c r="K269">
        <v>11</v>
      </c>
      <c r="L269" t="s">
        <v>65</v>
      </c>
      <c r="M269" t="s">
        <v>66</v>
      </c>
      <c r="N269" t="s">
        <v>31</v>
      </c>
    </row>
    <row r="270" spans="1:14" x14ac:dyDescent="0.3">
      <c r="A270" t="s">
        <v>254</v>
      </c>
      <c r="B270" t="s">
        <v>86</v>
      </c>
      <c r="C270" t="s">
        <v>283</v>
      </c>
      <c r="D270" t="s">
        <v>34</v>
      </c>
      <c r="E270" t="s">
        <v>398</v>
      </c>
      <c r="F270" t="s">
        <v>132</v>
      </c>
      <c r="G270">
        <v>52945000</v>
      </c>
      <c r="H270" s="1">
        <v>44753</v>
      </c>
      <c r="I270">
        <v>2022</v>
      </c>
      <c r="J270" t="s">
        <v>57</v>
      </c>
      <c r="K270">
        <v>7</v>
      </c>
      <c r="L270" t="s">
        <v>65</v>
      </c>
      <c r="M270" t="s">
        <v>39</v>
      </c>
      <c r="N270" t="s">
        <v>47</v>
      </c>
    </row>
    <row r="271" spans="1:14" x14ac:dyDescent="0.3">
      <c r="A271" t="s">
        <v>193</v>
      </c>
      <c r="B271" t="s">
        <v>49</v>
      </c>
      <c r="C271" t="s">
        <v>50</v>
      </c>
      <c r="D271" t="s">
        <v>136</v>
      </c>
      <c r="E271" t="s">
        <v>51</v>
      </c>
      <c r="F271" t="s">
        <v>19</v>
      </c>
      <c r="G271">
        <v>148000</v>
      </c>
      <c r="H271" s="1">
        <v>45097</v>
      </c>
      <c r="I271">
        <v>2023</v>
      </c>
      <c r="J271" t="s">
        <v>141</v>
      </c>
      <c r="K271">
        <v>6</v>
      </c>
      <c r="L271" t="s">
        <v>21</v>
      </c>
      <c r="M271" t="s">
        <v>22</v>
      </c>
      <c r="N271" t="s">
        <v>40</v>
      </c>
    </row>
    <row r="272" spans="1:14" x14ac:dyDescent="0.3">
      <c r="A272" t="s">
        <v>24</v>
      </c>
      <c r="B272" t="s">
        <v>186</v>
      </c>
      <c r="C272" t="s">
        <v>341</v>
      </c>
      <c r="D272" t="s">
        <v>54</v>
      </c>
      <c r="E272" t="s">
        <v>399</v>
      </c>
      <c r="F272" t="s">
        <v>56</v>
      </c>
      <c r="G272">
        <v>645000</v>
      </c>
      <c r="H272" s="1">
        <v>45436</v>
      </c>
      <c r="I272">
        <v>2024</v>
      </c>
      <c r="J272" t="s">
        <v>77</v>
      </c>
      <c r="K272">
        <v>5</v>
      </c>
      <c r="L272" t="s">
        <v>38</v>
      </c>
      <c r="M272" t="s">
        <v>22</v>
      </c>
      <c r="N272" t="s">
        <v>31</v>
      </c>
    </row>
    <row r="273" spans="1:14" x14ac:dyDescent="0.3">
      <c r="A273" t="s">
        <v>155</v>
      </c>
      <c r="B273" t="s">
        <v>81</v>
      </c>
      <c r="C273" t="s">
        <v>319</v>
      </c>
      <c r="D273" t="s">
        <v>70</v>
      </c>
      <c r="E273" t="s">
        <v>231</v>
      </c>
      <c r="F273" t="s">
        <v>56</v>
      </c>
      <c r="G273">
        <v>646000</v>
      </c>
      <c r="H273" s="1">
        <v>44383</v>
      </c>
      <c r="I273">
        <v>2021</v>
      </c>
      <c r="J273" t="s">
        <v>57</v>
      </c>
      <c r="K273">
        <v>7</v>
      </c>
      <c r="L273" t="s">
        <v>38</v>
      </c>
      <c r="M273" t="s">
        <v>22</v>
      </c>
      <c r="N273" t="s">
        <v>84</v>
      </c>
    </row>
    <row r="274" spans="1:14" x14ac:dyDescent="0.3">
      <c r="A274" t="s">
        <v>400</v>
      </c>
      <c r="B274" t="s">
        <v>32</v>
      </c>
      <c r="C274" t="s">
        <v>101</v>
      </c>
      <c r="D274" t="s">
        <v>111</v>
      </c>
      <c r="E274" t="s">
        <v>97</v>
      </c>
      <c r="F274" t="s">
        <v>56</v>
      </c>
      <c r="G274">
        <v>736000</v>
      </c>
      <c r="H274" s="1">
        <v>43884</v>
      </c>
      <c r="I274">
        <v>2020</v>
      </c>
      <c r="J274" t="s">
        <v>108</v>
      </c>
      <c r="K274">
        <v>2</v>
      </c>
      <c r="L274" t="s">
        <v>38</v>
      </c>
      <c r="M274" t="s">
        <v>22</v>
      </c>
      <c r="N274" t="s">
        <v>40</v>
      </c>
    </row>
    <row r="275" spans="1:14" x14ac:dyDescent="0.3">
      <c r="A275" t="s">
        <v>155</v>
      </c>
      <c r="B275" t="s">
        <v>126</v>
      </c>
      <c r="C275" t="s">
        <v>127</v>
      </c>
      <c r="D275" t="s">
        <v>96</v>
      </c>
      <c r="E275" t="s">
        <v>270</v>
      </c>
      <c r="F275" t="s">
        <v>64</v>
      </c>
      <c r="G275">
        <v>556750000</v>
      </c>
      <c r="H275" s="1">
        <v>43856</v>
      </c>
      <c r="I275">
        <v>2020</v>
      </c>
      <c r="J275" t="s">
        <v>29</v>
      </c>
      <c r="K275">
        <v>1</v>
      </c>
      <c r="L275" t="s">
        <v>65</v>
      </c>
      <c r="M275" t="s">
        <v>66</v>
      </c>
      <c r="N275" t="s">
        <v>40</v>
      </c>
    </row>
    <row r="276" spans="1:14" x14ac:dyDescent="0.3">
      <c r="A276" t="s">
        <v>394</v>
      </c>
      <c r="B276" t="s">
        <v>32</v>
      </c>
      <c r="C276" t="s">
        <v>33</v>
      </c>
      <c r="D276" t="s">
        <v>75</v>
      </c>
      <c r="E276" t="s">
        <v>401</v>
      </c>
      <c r="F276" t="s">
        <v>103</v>
      </c>
      <c r="G276">
        <v>3994000</v>
      </c>
      <c r="H276" s="1">
        <v>45234</v>
      </c>
      <c r="I276">
        <v>2023</v>
      </c>
      <c r="J276" t="s">
        <v>72</v>
      </c>
      <c r="K276">
        <v>11</v>
      </c>
      <c r="L276" t="s">
        <v>38</v>
      </c>
      <c r="M276" t="s">
        <v>30</v>
      </c>
      <c r="N276" t="s">
        <v>40</v>
      </c>
    </row>
    <row r="277" spans="1:14" x14ac:dyDescent="0.3">
      <c r="A277" t="s">
        <v>331</v>
      </c>
      <c r="B277" t="s">
        <v>186</v>
      </c>
      <c r="C277" t="s">
        <v>127</v>
      </c>
      <c r="D277" t="s">
        <v>136</v>
      </c>
      <c r="E277" t="s">
        <v>402</v>
      </c>
      <c r="F277" t="s">
        <v>19</v>
      </c>
      <c r="G277">
        <v>318000</v>
      </c>
      <c r="H277" s="1">
        <v>44444</v>
      </c>
      <c r="I277">
        <v>2021</v>
      </c>
      <c r="J277" t="s">
        <v>46</v>
      </c>
      <c r="K277">
        <v>9</v>
      </c>
      <c r="L277" t="s">
        <v>21</v>
      </c>
      <c r="M277" t="s">
        <v>22</v>
      </c>
      <c r="N277" t="s">
        <v>31</v>
      </c>
    </row>
    <row r="278" spans="1:14" x14ac:dyDescent="0.3">
      <c r="A278" t="s">
        <v>80</v>
      </c>
      <c r="B278" t="s">
        <v>42</v>
      </c>
      <c r="C278" t="s">
        <v>205</v>
      </c>
      <c r="D278" t="s">
        <v>75</v>
      </c>
      <c r="E278" t="s">
        <v>200</v>
      </c>
      <c r="F278" t="s">
        <v>19</v>
      </c>
      <c r="G278">
        <v>950000</v>
      </c>
      <c r="H278" s="1">
        <v>44050</v>
      </c>
      <c r="I278">
        <v>2020</v>
      </c>
      <c r="J278" t="s">
        <v>153</v>
      </c>
      <c r="K278">
        <v>8</v>
      </c>
      <c r="L278" t="s">
        <v>21</v>
      </c>
      <c r="M278" t="s">
        <v>22</v>
      </c>
      <c r="N278" t="s">
        <v>47</v>
      </c>
    </row>
    <row r="279" spans="1:14" x14ac:dyDescent="0.3">
      <c r="A279" t="s">
        <v>254</v>
      </c>
      <c r="B279" t="s">
        <v>126</v>
      </c>
      <c r="C279" t="s">
        <v>265</v>
      </c>
      <c r="D279" t="s">
        <v>96</v>
      </c>
      <c r="E279" t="s">
        <v>403</v>
      </c>
      <c r="F279" t="s">
        <v>103</v>
      </c>
      <c r="G279">
        <v>5813000</v>
      </c>
      <c r="H279" s="1">
        <v>44712</v>
      </c>
      <c r="I279">
        <v>2022</v>
      </c>
      <c r="J279" t="s">
        <v>77</v>
      </c>
      <c r="K279">
        <v>5</v>
      </c>
      <c r="L279" t="s">
        <v>38</v>
      </c>
      <c r="M279" t="s">
        <v>30</v>
      </c>
      <c r="N279" t="s">
        <v>40</v>
      </c>
    </row>
    <row r="280" spans="1:14" x14ac:dyDescent="0.3">
      <c r="A280" t="s">
        <v>342</v>
      </c>
      <c r="B280" t="s">
        <v>105</v>
      </c>
      <c r="C280" t="s">
        <v>119</v>
      </c>
      <c r="D280" t="s">
        <v>96</v>
      </c>
      <c r="E280" t="s">
        <v>404</v>
      </c>
      <c r="F280" t="s">
        <v>19</v>
      </c>
      <c r="G280">
        <v>666000</v>
      </c>
      <c r="H280" s="1">
        <v>45254</v>
      </c>
      <c r="I280">
        <v>2023</v>
      </c>
      <c r="J280" t="s">
        <v>72</v>
      </c>
      <c r="K280">
        <v>11</v>
      </c>
      <c r="L280" t="s">
        <v>21</v>
      </c>
      <c r="M280" t="s">
        <v>22</v>
      </c>
      <c r="N280" t="s">
        <v>23</v>
      </c>
    </row>
    <row r="281" spans="1:14" x14ac:dyDescent="0.3">
      <c r="A281" t="s">
        <v>193</v>
      </c>
      <c r="B281" t="s">
        <v>59</v>
      </c>
      <c r="C281" t="s">
        <v>149</v>
      </c>
      <c r="D281" t="s">
        <v>96</v>
      </c>
      <c r="E281" t="s">
        <v>258</v>
      </c>
      <c r="F281" t="s">
        <v>19</v>
      </c>
      <c r="G281">
        <v>942000</v>
      </c>
      <c r="H281" s="1">
        <v>44985</v>
      </c>
      <c r="I281">
        <v>2023</v>
      </c>
      <c r="J281" t="s">
        <v>108</v>
      </c>
      <c r="K281">
        <v>2</v>
      </c>
      <c r="L281" t="s">
        <v>21</v>
      </c>
      <c r="M281" t="s">
        <v>22</v>
      </c>
      <c r="N281" t="s">
        <v>31</v>
      </c>
    </row>
    <row r="282" spans="1:14" x14ac:dyDescent="0.3">
      <c r="A282" t="s">
        <v>287</v>
      </c>
      <c r="B282" t="s">
        <v>32</v>
      </c>
      <c r="C282" t="s">
        <v>33</v>
      </c>
      <c r="D282" t="s">
        <v>70</v>
      </c>
      <c r="E282" t="s">
        <v>405</v>
      </c>
      <c r="F282" t="s">
        <v>188</v>
      </c>
      <c r="G282">
        <v>1333000</v>
      </c>
      <c r="H282" s="1">
        <v>44260</v>
      </c>
      <c r="I282">
        <v>2021</v>
      </c>
      <c r="J282" t="s">
        <v>37</v>
      </c>
      <c r="K282">
        <v>3</v>
      </c>
      <c r="L282" t="s">
        <v>38</v>
      </c>
      <c r="M282" t="s">
        <v>30</v>
      </c>
      <c r="N282" t="s">
        <v>40</v>
      </c>
    </row>
    <row r="283" spans="1:14" x14ac:dyDescent="0.3">
      <c r="A283" t="s">
        <v>241</v>
      </c>
      <c r="B283" t="s">
        <v>114</v>
      </c>
      <c r="C283" t="s">
        <v>115</v>
      </c>
      <c r="D283" t="s">
        <v>70</v>
      </c>
      <c r="E283" t="s">
        <v>217</v>
      </c>
      <c r="F283" t="s">
        <v>19</v>
      </c>
      <c r="G283">
        <v>174000</v>
      </c>
      <c r="H283" s="1">
        <v>44451</v>
      </c>
      <c r="I283">
        <v>2021</v>
      </c>
      <c r="J283" t="s">
        <v>46</v>
      </c>
      <c r="K283">
        <v>9</v>
      </c>
      <c r="L283" t="s">
        <v>21</v>
      </c>
      <c r="M283" t="s">
        <v>22</v>
      </c>
      <c r="N283" t="s">
        <v>47</v>
      </c>
    </row>
    <row r="284" spans="1:14" x14ac:dyDescent="0.3">
      <c r="A284" t="s">
        <v>73</v>
      </c>
      <c r="B284" t="s">
        <v>59</v>
      </c>
      <c r="C284" t="s">
        <v>149</v>
      </c>
      <c r="D284" t="s">
        <v>17</v>
      </c>
      <c r="E284" t="s">
        <v>406</v>
      </c>
      <c r="F284" t="s">
        <v>103</v>
      </c>
      <c r="G284">
        <v>2765000</v>
      </c>
      <c r="H284" s="1">
        <v>45055</v>
      </c>
      <c r="I284">
        <v>2023</v>
      </c>
      <c r="J284" t="s">
        <v>77</v>
      </c>
      <c r="K284">
        <v>5</v>
      </c>
      <c r="L284" t="s">
        <v>38</v>
      </c>
      <c r="M284" t="s">
        <v>30</v>
      </c>
      <c r="N284" t="s">
        <v>31</v>
      </c>
    </row>
    <row r="285" spans="1:14" x14ac:dyDescent="0.3">
      <c r="A285" t="s">
        <v>173</v>
      </c>
      <c r="B285" t="s">
        <v>59</v>
      </c>
      <c r="C285" t="s">
        <v>149</v>
      </c>
      <c r="D285" t="s">
        <v>111</v>
      </c>
      <c r="E285" t="s">
        <v>112</v>
      </c>
      <c r="F285" t="s">
        <v>103</v>
      </c>
      <c r="G285">
        <v>1290000</v>
      </c>
      <c r="H285" s="1">
        <v>45703</v>
      </c>
      <c r="I285">
        <v>2025</v>
      </c>
      <c r="J285" t="s">
        <v>108</v>
      </c>
      <c r="K285">
        <v>2</v>
      </c>
      <c r="L285" t="s">
        <v>38</v>
      </c>
      <c r="M285" t="s">
        <v>30</v>
      </c>
      <c r="N285" t="s">
        <v>31</v>
      </c>
    </row>
    <row r="286" spans="1:14" x14ac:dyDescent="0.3">
      <c r="A286" t="s">
        <v>80</v>
      </c>
      <c r="B286" t="s">
        <v>86</v>
      </c>
      <c r="C286" t="s">
        <v>87</v>
      </c>
      <c r="D286" t="s">
        <v>75</v>
      </c>
      <c r="E286" t="s">
        <v>407</v>
      </c>
      <c r="F286" t="s">
        <v>117</v>
      </c>
      <c r="G286">
        <v>76000</v>
      </c>
      <c r="H286" s="1">
        <v>45152</v>
      </c>
      <c r="I286">
        <v>2023</v>
      </c>
      <c r="J286" t="s">
        <v>153</v>
      </c>
      <c r="K286">
        <v>8</v>
      </c>
      <c r="L286" t="s">
        <v>21</v>
      </c>
      <c r="M286" t="s">
        <v>22</v>
      </c>
      <c r="N286" t="s">
        <v>47</v>
      </c>
    </row>
    <row r="287" spans="1:14" x14ac:dyDescent="0.3">
      <c r="A287" t="s">
        <v>408</v>
      </c>
      <c r="B287" t="s">
        <v>186</v>
      </c>
      <c r="C287" t="s">
        <v>187</v>
      </c>
      <c r="D287" t="s">
        <v>17</v>
      </c>
      <c r="E287" t="s">
        <v>409</v>
      </c>
      <c r="F287" t="s">
        <v>19</v>
      </c>
      <c r="G287">
        <v>57000</v>
      </c>
      <c r="H287" s="1">
        <v>44876</v>
      </c>
      <c r="I287">
        <v>2022</v>
      </c>
      <c r="J287" t="s">
        <v>72</v>
      </c>
      <c r="K287">
        <v>11</v>
      </c>
      <c r="L287" t="s">
        <v>21</v>
      </c>
      <c r="M287" t="s">
        <v>22</v>
      </c>
      <c r="N287" t="s">
        <v>31</v>
      </c>
    </row>
    <row r="288" spans="1:14" x14ac:dyDescent="0.3">
      <c r="A288" t="s">
        <v>277</v>
      </c>
      <c r="B288" t="s">
        <v>42</v>
      </c>
      <c r="C288" t="s">
        <v>205</v>
      </c>
      <c r="D288" t="s">
        <v>75</v>
      </c>
      <c r="E288" t="s">
        <v>61</v>
      </c>
      <c r="F288" t="s">
        <v>36</v>
      </c>
      <c r="G288">
        <v>18181000</v>
      </c>
      <c r="H288" s="1">
        <v>44139</v>
      </c>
      <c r="I288">
        <v>2020</v>
      </c>
      <c r="J288" t="s">
        <v>72</v>
      </c>
      <c r="K288">
        <v>11</v>
      </c>
      <c r="L288" t="s">
        <v>38</v>
      </c>
      <c r="M288" t="s">
        <v>39</v>
      </c>
      <c r="N288" t="s">
        <v>47</v>
      </c>
    </row>
    <row r="289" spans="1:14" x14ac:dyDescent="0.3">
      <c r="A289" t="s">
        <v>239</v>
      </c>
      <c r="B289" t="s">
        <v>68</v>
      </c>
      <c r="C289" t="s">
        <v>324</v>
      </c>
      <c r="D289" t="s">
        <v>17</v>
      </c>
      <c r="E289" t="s">
        <v>97</v>
      </c>
      <c r="F289" t="s">
        <v>175</v>
      </c>
      <c r="G289">
        <v>174427000</v>
      </c>
      <c r="H289" s="1">
        <v>45326</v>
      </c>
      <c r="I289">
        <v>2024</v>
      </c>
      <c r="J289" t="s">
        <v>108</v>
      </c>
      <c r="K289">
        <v>2</v>
      </c>
      <c r="L289" t="s">
        <v>65</v>
      </c>
      <c r="M289" t="s">
        <v>66</v>
      </c>
      <c r="N289" t="s">
        <v>31</v>
      </c>
    </row>
    <row r="290" spans="1:14" x14ac:dyDescent="0.3">
      <c r="A290" t="s">
        <v>305</v>
      </c>
      <c r="B290" t="s">
        <v>15</v>
      </c>
      <c r="C290" t="s">
        <v>53</v>
      </c>
      <c r="D290" t="s">
        <v>96</v>
      </c>
      <c r="E290" t="s">
        <v>410</v>
      </c>
      <c r="F290" t="s">
        <v>103</v>
      </c>
      <c r="G290">
        <v>2173000</v>
      </c>
      <c r="H290" s="1">
        <v>44728</v>
      </c>
      <c r="I290">
        <v>2022</v>
      </c>
      <c r="J290" t="s">
        <v>141</v>
      </c>
      <c r="K290">
        <v>6</v>
      </c>
      <c r="L290" t="s">
        <v>38</v>
      </c>
      <c r="M290" t="s">
        <v>30</v>
      </c>
      <c r="N290" t="s">
        <v>23</v>
      </c>
    </row>
    <row r="291" spans="1:14" x14ac:dyDescent="0.3">
      <c r="A291" t="s">
        <v>191</v>
      </c>
      <c r="B291" t="s">
        <v>81</v>
      </c>
      <c r="C291" t="s">
        <v>319</v>
      </c>
      <c r="D291" t="s">
        <v>17</v>
      </c>
      <c r="E291" t="s">
        <v>401</v>
      </c>
      <c r="F291" t="s">
        <v>36</v>
      </c>
      <c r="G291">
        <v>25728000</v>
      </c>
      <c r="H291" s="1">
        <v>44167</v>
      </c>
      <c r="I291">
        <v>2020</v>
      </c>
      <c r="J291" t="s">
        <v>99</v>
      </c>
      <c r="K291">
        <v>12</v>
      </c>
      <c r="L291" t="s">
        <v>38</v>
      </c>
      <c r="M291" t="s">
        <v>39</v>
      </c>
      <c r="N291" t="s">
        <v>84</v>
      </c>
    </row>
    <row r="292" spans="1:14" x14ac:dyDescent="0.3">
      <c r="A292" t="s">
        <v>181</v>
      </c>
      <c r="B292" t="s">
        <v>15</v>
      </c>
      <c r="C292" t="s">
        <v>53</v>
      </c>
      <c r="D292" t="s">
        <v>54</v>
      </c>
      <c r="E292" t="s">
        <v>411</v>
      </c>
      <c r="F292" t="s">
        <v>19</v>
      </c>
      <c r="G292">
        <v>56000</v>
      </c>
      <c r="H292" s="1">
        <v>45177</v>
      </c>
      <c r="I292">
        <v>2023</v>
      </c>
      <c r="J292" t="s">
        <v>46</v>
      </c>
      <c r="K292">
        <v>9</v>
      </c>
      <c r="L292" t="s">
        <v>21</v>
      </c>
      <c r="M292" t="s">
        <v>22</v>
      </c>
      <c r="N292" t="s">
        <v>23</v>
      </c>
    </row>
    <row r="293" spans="1:14" x14ac:dyDescent="0.3">
      <c r="A293" t="s">
        <v>412</v>
      </c>
      <c r="B293" t="s">
        <v>68</v>
      </c>
      <c r="C293" t="s">
        <v>69</v>
      </c>
      <c r="D293" t="s">
        <v>27</v>
      </c>
      <c r="E293" t="s">
        <v>293</v>
      </c>
      <c r="F293" t="s">
        <v>36</v>
      </c>
      <c r="G293">
        <v>5546000</v>
      </c>
      <c r="H293" s="1">
        <v>44252</v>
      </c>
      <c r="I293">
        <v>2021</v>
      </c>
      <c r="J293" t="s">
        <v>108</v>
      </c>
      <c r="K293">
        <v>2</v>
      </c>
      <c r="L293" t="s">
        <v>38</v>
      </c>
      <c r="M293" t="s">
        <v>30</v>
      </c>
      <c r="N293" t="s">
        <v>31</v>
      </c>
    </row>
    <row r="294" spans="1:14" x14ac:dyDescent="0.3">
      <c r="A294" t="s">
        <v>413</v>
      </c>
      <c r="B294" t="s">
        <v>126</v>
      </c>
      <c r="C294" t="s">
        <v>159</v>
      </c>
      <c r="D294" t="s">
        <v>111</v>
      </c>
      <c r="E294" t="s">
        <v>183</v>
      </c>
      <c r="F294" t="s">
        <v>19</v>
      </c>
      <c r="G294">
        <v>1040000</v>
      </c>
      <c r="H294" s="1">
        <v>44498</v>
      </c>
      <c r="I294">
        <v>2021</v>
      </c>
      <c r="J294" t="s">
        <v>89</v>
      </c>
      <c r="K294">
        <v>10</v>
      </c>
      <c r="L294" t="s">
        <v>21</v>
      </c>
      <c r="M294" t="s">
        <v>30</v>
      </c>
      <c r="N294" t="s">
        <v>40</v>
      </c>
    </row>
    <row r="295" spans="1:14" x14ac:dyDescent="0.3">
      <c r="A295" t="s">
        <v>118</v>
      </c>
      <c r="B295" t="s">
        <v>49</v>
      </c>
      <c r="C295" t="s">
        <v>225</v>
      </c>
      <c r="D295" t="s">
        <v>111</v>
      </c>
      <c r="E295" t="s">
        <v>270</v>
      </c>
      <c r="F295" t="s">
        <v>188</v>
      </c>
      <c r="G295">
        <v>189000</v>
      </c>
      <c r="H295" s="1">
        <v>44472</v>
      </c>
      <c r="I295">
        <v>2021</v>
      </c>
      <c r="J295" t="s">
        <v>89</v>
      </c>
      <c r="K295">
        <v>10</v>
      </c>
      <c r="L295" t="s">
        <v>38</v>
      </c>
      <c r="M295" t="s">
        <v>22</v>
      </c>
      <c r="N295" t="s">
        <v>40</v>
      </c>
    </row>
    <row r="296" spans="1:14" x14ac:dyDescent="0.3">
      <c r="A296" t="s">
        <v>191</v>
      </c>
      <c r="B296" t="s">
        <v>86</v>
      </c>
      <c r="C296" t="s">
        <v>228</v>
      </c>
      <c r="D296" t="s">
        <v>70</v>
      </c>
      <c r="E296" t="s">
        <v>414</v>
      </c>
      <c r="F296" t="s">
        <v>103</v>
      </c>
      <c r="G296">
        <v>1411000</v>
      </c>
      <c r="H296" s="1">
        <v>45497</v>
      </c>
      <c r="I296">
        <v>2024</v>
      </c>
      <c r="J296" t="s">
        <v>57</v>
      </c>
      <c r="K296">
        <v>7</v>
      </c>
      <c r="L296" t="s">
        <v>38</v>
      </c>
      <c r="M296" t="s">
        <v>30</v>
      </c>
      <c r="N296" t="s">
        <v>47</v>
      </c>
    </row>
    <row r="297" spans="1:14" x14ac:dyDescent="0.3">
      <c r="A297" t="s">
        <v>394</v>
      </c>
      <c r="B297" t="s">
        <v>86</v>
      </c>
      <c r="C297" t="s">
        <v>283</v>
      </c>
      <c r="D297" t="s">
        <v>44</v>
      </c>
      <c r="E297" t="s">
        <v>140</v>
      </c>
      <c r="F297" t="s">
        <v>19</v>
      </c>
      <c r="G297">
        <v>343000</v>
      </c>
      <c r="H297" s="1">
        <v>44205</v>
      </c>
      <c r="I297">
        <v>2021</v>
      </c>
      <c r="J297" t="s">
        <v>29</v>
      </c>
      <c r="K297">
        <v>1</v>
      </c>
      <c r="L297" t="s">
        <v>21</v>
      </c>
      <c r="M297" t="s">
        <v>22</v>
      </c>
      <c r="N297" t="s">
        <v>47</v>
      </c>
    </row>
    <row r="298" spans="1:14" x14ac:dyDescent="0.3">
      <c r="A298" t="s">
        <v>395</v>
      </c>
      <c r="B298" t="s">
        <v>105</v>
      </c>
      <c r="C298" t="s">
        <v>119</v>
      </c>
      <c r="D298" t="s">
        <v>136</v>
      </c>
      <c r="E298" t="s">
        <v>415</v>
      </c>
      <c r="F298" t="s">
        <v>19</v>
      </c>
      <c r="G298">
        <v>856000</v>
      </c>
      <c r="H298" s="1">
        <v>45132</v>
      </c>
      <c r="I298">
        <v>2023</v>
      </c>
      <c r="J298" t="s">
        <v>57</v>
      </c>
      <c r="K298">
        <v>7</v>
      </c>
      <c r="L298" t="s">
        <v>21</v>
      </c>
      <c r="M298" t="s">
        <v>22</v>
      </c>
      <c r="N298" t="s">
        <v>23</v>
      </c>
    </row>
    <row r="299" spans="1:14" x14ac:dyDescent="0.3">
      <c r="A299" t="s">
        <v>370</v>
      </c>
      <c r="B299" t="s">
        <v>32</v>
      </c>
      <c r="C299" t="s">
        <v>33</v>
      </c>
      <c r="D299" t="s">
        <v>70</v>
      </c>
      <c r="E299" t="s">
        <v>242</v>
      </c>
      <c r="F299" t="s">
        <v>19</v>
      </c>
      <c r="G299">
        <v>111000</v>
      </c>
      <c r="H299" s="1">
        <v>44214</v>
      </c>
      <c r="I299">
        <v>2021</v>
      </c>
      <c r="J299" t="s">
        <v>29</v>
      </c>
      <c r="K299">
        <v>1</v>
      </c>
      <c r="L299" t="s">
        <v>21</v>
      </c>
      <c r="M299" t="s">
        <v>22</v>
      </c>
      <c r="N299" t="s">
        <v>40</v>
      </c>
    </row>
    <row r="300" spans="1:14" x14ac:dyDescent="0.3">
      <c r="A300" t="s">
        <v>48</v>
      </c>
      <c r="B300" t="s">
        <v>114</v>
      </c>
      <c r="C300" t="s">
        <v>115</v>
      </c>
      <c r="D300" t="s">
        <v>27</v>
      </c>
      <c r="E300" t="s">
        <v>306</v>
      </c>
      <c r="F300" t="s">
        <v>103</v>
      </c>
      <c r="G300">
        <v>5402000</v>
      </c>
      <c r="H300" s="1">
        <v>44230</v>
      </c>
      <c r="I300">
        <v>2021</v>
      </c>
      <c r="J300" t="s">
        <v>108</v>
      </c>
      <c r="K300">
        <v>2</v>
      </c>
      <c r="L300" t="s">
        <v>38</v>
      </c>
      <c r="M300" t="s">
        <v>30</v>
      </c>
      <c r="N300" t="s">
        <v>47</v>
      </c>
    </row>
    <row r="301" spans="1:14" x14ac:dyDescent="0.3">
      <c r="A301" t="s">
        <v>161</v>
      </c>
      <c r="B301" t="s">
        <v>42</v>
      </c>
      <c r="C301" t="s">
        <v>43</v>
      </c>
      <c r="D301" t="s">
        <v>70</v>
      </c>
      <c r="E301" t="s">
        <v>416</v>
      </c>
      <c r="F301" t="s">
        <v>103</v>
      </c>
      <c r="G301">
        <v>1260000</v>
      </c>
      <c r="H301" s="1">
        <v>44000</v>
      </c>
      <c r="I301">
        <v>2020</v>
      </c>
      <c r="J301" t="s">
        <v>141</v>
      </c>
      <c r="K301">
        <v>6</v>
      </c>
      <c r="L301" t="s">
        <v>38</v>
      </c>
      <c r="M301" t="s">
        <v>30</v>
      </c>
      <c r="N301" t="s">
        <v>47</v>
      </c>
    </row>
    <row r="302" spans="1:14" x14ac:dyDescent="0.3">
      <c r="A302" t="s">
        <v>323</v>
      </c>
      <c r="B302" t="s">
        <v>81</v>
      </c>
      <c r="C302" t="s">
        <v>319</v>
      </c>
      <c r="D302" t="s">
        <v>44</v>
      </c>
      <c r="E302" t="s">
        <v>417</v>
      </c>
      <c r="F302" t="s">
        <v>103</v>
      </c>
      <c r="G302">
        <v>1150000</v>
      </c>
      <c r="H302" s="1">
        <v>44175</v>
      </c>
      <c r="I302">
        <v>2020</v>
      </c>
      <c r="J302" t="s">
        <v>99</v>
      </c>
      <c r="K302">
        <v>12</v>
      </c>
      <c r="L302" t="s">
        <v>38</v>
      </c>
      <c r="M302" t="s">
        <v>30</v>
      </c>
      <c r="N302" t="s">
        <v>84</v>
      </c>
    </row>
    <row r="303" spans="1:14" x14ac:dyDescent="0.3">
      <c r="A303" t="s">
        <v>161</v>
      </c>
      <c r="B303" t="s">
        <v>186</v>
      </c>
      <c r="C303" t="s">
        <v>149</v>
      </c>
      <c r="D303" t="s">
        <v>17</v>
      </c>
      <c r="E303" t="s">
        <v>192</v>
      </c>
      <c r="F303" t="s">
        <v>19</v>
      </c>
      <c r="G303">
        <v>355000</v>
      </c>
      <c r="H303" s="1">
        <v>44943</v>
      </c>
      <c r="I303">
        <v>2023</v>
      </c>
      <c r="J303" t="s">
        <v>29</v>
      </c>
      <c r="K303">
        <v>1</v>
      </c>
      <c r="L303" t="s">
        <v>21</v>
      </c>
      <c r="M303" t="s">
        <v>22</v>
      </c>
      <c r="N303" t="s">
        <v>31</v>
      </c>
    </row>
    <row r="304" spans="1:14" x14ac:dyDescent="0.3">
      <c r="A304" t="s">
        <v>223</v>
      </c>
      <c r="B304" t="s">
        <v>59</v>
      </c>
      <c r="C304" t="s">
        <v>60</v>
      </c>
      <c r="D304" t="s">
        <v>70</v>
      </c>
      <c r="E304" t="s">
        <v>293</v>
      </c>
      <c r="F304" t="s">
        <v>103</v>
      </c>
      <c r="G304">
        <v>4324000</v>
      </c>
      <c r="H304" s="1">
        <v>44701</v>
      </c>
      <c r="I304">
        <v>2022</v>
      </c>
      <c r="J304" t="s">
        <v>77</v>
      </c>
      <c r="K304">
        <v>5</v>
      </c>
      <c r="L304" t="s">
        <v>38</v>
      </c>
      <c r="M304" t="s">
        <v>30</v>
      </c>
      <c r="N304" t="s">
        <v>31</v>
      </c>
    </row>
    <row r="305" spans="1:14" x14ac:dyDescent="0.3">
      <c r="A305" t="s">
        <v>80</v>
      </c>
      <c r="B305" t="s">
        <v>81</v>
      </c>
      <c r="C305" t="s">
        <v>90</v>
      </c>
      <c r="D305" t="s">
        <v>34</v>
      </c>
      <c r="E305" t="s">
        <v>183</v>
      </c>
      <c r="F305" t="s">
        <v>19</v>
      </c>
      <c r="G305">
        <v>525000</v>
      </c>
      <c r="H305" s="1">
        <v>45503</v>
      </c>
      <c r="I305">
        <v>2024</v>
      </c>
      <c r="J305" t="s">
        <v>57</v>
      </c>
      <c r="K305">
        <v>7</v>
      </c>
      <c r="L305" t="s">
        <v>21</v>
      </c>
      <c r="M305" t="s">
        <v>22</v>
      </c>
      <c r="N305" t="s">
        <v>84</v>
      </c>
    </row>
    <row r="306" spans="1:14" x14ac:dyDescent="0.3">
      <c r="A306" t="s">
        <v>14</v>
      </c>
      <c r="B306" t="s">
        <v>59</v>
      </c>
      <c r="C306" t="s">
        <v>123</v>
      </c>
      <c r="D306" t="s">
        <v>44</v>
      </c>
      <c r="E306" t="s">
        <v>418</v>
      </c>
      <c r="F306" t="s">
        <v>132</v>
      </c>
      <c r="G306">
        <v>142883000</v>
      </c>
      <c r="H306" s="1">
        <v>45035</v>
      </c>
      <c r="I306">
        <v>2023</v>
      </c>
      <c r="J306" t="s">
        <v>20</v>
      </c>
      <c r="K306">
        <v>4</v>
      </c>
      <c r="L306" t="s">
        <v>65</v>
      </c>
      <c r="M306" t="s">
        <v>66</v>
      </c>
      <c r="N306" t="s">
        <v>31</v>
      </c>
    </row>
    <row r="307" spans="1:14" x14ac:dyDescent="0.3">
      <c r="A307" t="s">
        <v>220</v>
      </c>
      <c r="B307" t="s">
        <v>126</v>
      </c>
      <c r="C307" t="s">
        <v>159</v>
      </c>
      <c r="D307" t="s">
        <v>44</v>
      </c>
      <c r="E307" t="s">
        <v>192</v>
      </c>
      <c r="F307" t="s">
        <v>132</v>
      </c>
      <c r="G307">
        <v>281010000</v>
      </c>
      <c r="H307" s="1">
        <v>45480</v>
      </c>
      <c r="I307">
        <v>2024</v>
      </c>
      <c r="J307" t="s">
        <v>57</v>
      </c>
      <c r="K307">
        <v>7</v>
      </c>
      <c r="L307" t="s">
        <v>65</v>
      </c>
      <c r="M307" t="s">
        <v>66</v>
      </c>
      <c r="N307" t="s">
        <v>40</v>
      </c>
    </row>
    <row r="308" spans="1:14" x14ac:dyDescent="0.3">
      <c r="A308" t="s">
        <v>137</v>
      </c>
      <c r="B308" t="s">
        <v>105</v>
      </c>
      <c r="C308" t="s">
        <v>106</v>
      </c>
      <c r="D308" t="s">
        <v>34</v>
      </c>
      <c r="E308" t="s">
        <v>419</v>
      </c>
      <c r="F308" t="s">
        <v>19</v>
      </c>
      <c r="G308">
        <v>336000</v>
      </c>
      <c r="H308" s="1">
        <v>44378</v>
      </c>
      <c r="I308">
        <v>2021</v>
      </c>
      <c r="J308" t="s">
        <v>57</v>
      </c>
      <c r="K308">
        <v>7</v>
      </c>
      <c r="L308" t="s">
        <v>21</v>
      </c>
      <c r="M308" t="s">
        <v>22</v>
      </c>
      <c r="N308" t="s">
        <v>23</v>
      </c>
    </row>
    <row r="309" spans="1:14" x14ac:dyDescent="0.3">
      <c r="A309" t="s">
        <v>257</v>
      </c>
      <c r="B309" t="s">
        <v>105</v>
      </c>
      <c r="C309" t="s">
        <v>119</v>
      </c>
      <c r="D309" t="s">
        <v>27</v>
      </c>
      <c r="E309" t="s">
        <v>420</v>
      </c>
      <c r="F309" t="s">
        <v>92</v>
      </c>
      <c r="G309">
        <v>744000</v>
      </c>
      <c r="H309" s="1">
        <v>45606</v>
      </c>
      <c r="I309">
        <v>2024</v>
      </c>
      <c r="J309" t="s">
        <v>72</v>
      </c>
      <c r="K309">
        <v>11</v>
      </c>
      <c r="L309" t="s">
        <v>65</v>
      </c>
      <c r="M309" t="s">
        <v>22</v>
      </c>
      <c r="N309" t="s">
        <v>23</v>
      </c>
    </row>
    <row r="310" spans="1:14" x14ac:dyDescent="0.3">
      <c r="A310" t="s">
        <v>332</v>
      </c>
      <c r="B310" t="s">
        <v>59</v>
      </c>
      <c r="C310" t="s">
        <v>60</v>
      </c>
      <c r="D310" t="s">
        <v>136</v>
      </c>
      <c r="E310" t="s">
        <v>421</v>
      </c>
      <c r="F310" t="s">
        <v>103</v>
      </c>
      <c r="G310">
        <v>8614000</v>
      </c>
      <c r="H310" s="1">
        <v>45013</v>
      </c>
      <c r="I310">
        <v>2023</v>
      </c>
      <c r="J310" t="s">
        <v>37</v>
      </c>
      <c r="K310">
        <v>3</v>
      </c>
      <c r="L310" t="s">
        <v>38</v>
      </c>
      <c r="M310" t="s">
        <v>30</v>
      </c>
      <c r="N310" t="s">
        <v>31</v>
      </c>
    </row>
    <row r="311" spans="1:14" x14ac:dyDescent="0.3">
      <c r="A311" t="s">
        <v>155</v>
      </c>
      <c r="B311" t="s">
        <v>68</v>
      </c>
      <c r="C311" t="s">
        <v>149</v>
      </c>
      <c r="D311" t="s">
        <v>34</v>
      </c>
      <c r="E311" t="s">
        <v>183</v>
      </c>
      <c r="F311" t="s">
        <v>36</v>
      </c>
      <c r="G311">
        <v>10595000</v>
      </c>
      <c r="H311" s="1">
        <v>45627</v>
      </c>
      <c r="I311">
        <v>2024</v>
      </c>
      <c r="J311" t="s">
        <v>99</v>
      </c>
      <c r="K311">
        <v>12</v>
      </c>
      <c r="L311" t="s">
        <v>38</v>
      </c>
      <c r="M311" t="s">
        <v>39</v>
      </c>
      <c r="N311" t="s">
        <v>31</v>
      </c>
    </row>
    <row r="312" spans="1:14" x14ac:dyDescent="0.3">
      <c r="A312" t="s">
        <v>312</v>
      </c>
      <c r="B312" t="s">
        <v>86</v>
      </c>
      <c r="C312" t="s">
        <v>283</v>
      </c>
      <c r="D312" t="s">
        <v>17</v>
      </c>
      <c r="E312" t="s">
        <v>422</v>
      </c>
      <c r="F312" t="s">
        <v>36</v>
      </c>
      <c r="G312">
        <v>16887000</v>
      </c>
      <c r="H312" s="1">
        <v>44769</v>
      </c>
      <c r="I312">
        <v>2022</v>
      </c>
      <c r="J312" t="s">
        <v>57</v>
      </c>
      <c r="K312">
        <v>7</v>
      </c>
      <c r="L312" t="s">
        <v>38</v>
      </c>
      <c r="M312" t="s">
        <v>39</v>
      </c>
      <c r="N312" t="s">
        <v>47</v>
      </c>
    </row>
    <row r="313" spans="1:14" x14ac:dyDescent="0.3">
      <c r="A313" t="s">
        <v>254</v>
      </c>
      <c r="B313" t="s">
        <v>68</v>
      </c>
      <c r="C313" t="s">
        <v>324</v>
      </c>
      <c r="D313" t="s">
        <v>70</v>
      </c>
      <c r="E313" t="s">
        <v>301</v>
      </c>
      <c r="F313" t="s">
        <v>19</v>
      </c>
      <c r="G313">
        <v>67000</v>
      </c>
      <c r="H313" s="1">
        <v>45527</v>
      </c>
      <c r="I313">
        <v>2024</v>
      </c>
      <c r="J313" t="s">
        <v>153</v>
      </c>
      <c r="K313">
        <v>8</v>
      </c>
      <c r="L313" t="s">
        <v>21</v>
      </c>
      <c r="M313" t="s">
        <v>22</v>
      </c>
      <c r="N313" t="s">
        <v>31</v>
      </c>
    </row>
    <row r="314" spans="1:14" x14ac:dyDescent="0.3">
      <c r="A314" t="s">
        <v>259</v>
      </c>
      <c r="B314" t="s">
        <v>42</v>
      </c>
      <c r="C314" t="s">
        <v>43</v>
      </c>
      <c r="D314" t="s">
        <v>27</v>
      </c>
      <c r="E314" t="s">
        <v>423</v>
      </c>
      <c r="F314" t="s">
        <v>117</v>
      </c>
      <c r="G314">
        <v>21000</v>
      </c>
      <c r="H314" s="1">
        <v>45113</v>
      </c>
      <c r="I314">
        <v>2023</v>
      </c>
      <c r="J314" t="s">
        <v>57</v>
      </c>
      <c r="K314">
        <v>7</v>
      </c>
      <c r="L314" t="s">
        <v>21</v>
      </c>
      <c r="M314" t="s">
        <v>22</v>
      </c>
      <c r="N314" t="s">
        <v>47</v>
      </c>
    </row>
    <row r="315" spans="1:14" x14ac:dyDescent="0.3">
      <c r="A315" t="s">
        <v>100</v>
      </c>
      <c r="B315" t="s">
        <v>81</v>
      </c>
      <c r="C315" t="s">
        <v>90</v>
      </c>
      <c r="D315" t="s">
        <v>44</v>
      </c>
      <c r="E315" t="s">
        <v>28</v>
      </c>
      <c r="F315" t="s">
        <v>92</v>
      </c>
      <c r="G315">
        <v>39642000</v>
      </c>
      <c r="H315" s="1">
        <v>45693</v>
      </c>
      <c r="I315">
        <v>2025</v>
      </c>
      <c r="J315" t="s">
        <v>108</v>
      </c>
      <c r="K315">
        <v>2</v>
      </c>
      <c r="L315" t="s">
        <v>65</v>
      </c>
      <c r="M315" t="s">
        <v>39</v>
      </c>
      <c r="N315" t="s">
        <v>84</v>
      </c>
    </row>
    <row r="316" spans="1:14" x14ac:dyDescent="0.3">
      <c r="A316" t="s">
        <v>269</v>
      </c>
      <c r="B316" t="s">
        <v>105</v>
      </c>
      <c r="C316" t="s">
        <v>106</v>
      </c>
      <c r="D316" t="s">
        <v>17</v>
      </c>
      <c r="E316" t="s">
        <v>97</v>
      </c>
      <c r="F316" t="s">
        <v>36</v>
      </c>
      <c r="G316">
        <v>50768000</v>
      </c>
      <c r="H316" s="1">
        <v>44343</v>
      </c>
      <c r="I316">
        <v>2021</v>
      </c>
      <c r="J316" t="s">
        <v>77</v>
      </c>
      <c r="K316">
        <v>5</v>
      </c>
      <c r="L316" t="s">
        <v>38</v>
      </c>
      <c r="M316" t="s">
        <v>39</v>
      </c>
      <c r="N316" t="s">
        <v>23</v>
      </c>
    </row>
    <row r="317" spans="1:14" x14ac:dyDescent="0.3">
      <c r="A317" t="s">
        <v>220</v>
      </c>
      <c r="B317" t="s">
        <v>81</v>
      </c>
      <c r="C317" t="s">
        <v>90</v>
      </c>
      <c r="D317" t="s">
        <v>34</v>
      </c>
      <c r="E317" t="s">
        <v>183</v>
      </c>
      <c r="F317" t="s">
        <v>36</v>
      </c>
      <c r="G317">
        <v>34436000</v>
      </c>
      <c r="H317" s="1">
        <v>45377</v>
      </c>
      <c r="I317">
        <v>2024</v>
      </c>
      <c r="J317" t="s">
        <v>37</v>
      </c>
      <c r="K317">
        <v>3</v>
      </c>
      <c r="L317" t="s">
        <v>38</v>
      </c>
      <c r="M317" t="s">
        <v>39</v>
      </c>
      <c r="N317" t="s">
        <v>84</v>
      </c>
    </row>
    <row r="318" spans="1:14" x14ac:dyDescent="0.3">
      <c r="A318" t="s">
        <v>155</v>
      </c>
      <c r="B318" t="s">
        <v>25</v>
      </c>
      <c r="C318" t="s">
        <v>171</v>
      </c>
      <c r="D318" t="s">
        <v>27</v>
      </c>
      <c r="E318" t="s">
        <v>258</v>
      </c>
      <c r="F318" t="s">
        <v>19</v>
      </c>
      <c r="G318">
        <v>226000</v>
      </c>
      <c r="H318" s="1">
        <v>43990</v>
      </c>
      <c r="I318">
        <v>2020</v>
      </c>
      <c r="J318" t="s">
        <v>141</v>
      </c>
      <c r="K318">
        <v>6</v>
      </c>
      <c r="L318" t="s">
        <v>21</v>
      </c>
      <c r="M318" t="s">
        <v>22</v>
      </c>
      <c r="N318" t="s">
        <v>31</v>
      </c>
    </row>
    <row r="319" spans="1:14" x14ac:dyDescent="0.3">
      <c r="A319" t="s">
        <v>58</v>
      </c>
      <c r="B319" t="s">
        <v>81</v>
      </c>
      <c r="C319" t="s">
        <v>250</v>
      </c>
      <c r="D319" t="s">
        <v>96</v>
      </c>
      <c r="E319" t="s">
        <v>424</v>
      </c>
      <c r="F319" t="s">
        <v>132</v>
      </c>
      <c r="G319">
        <v>31977000</v>
      </c>
      <c r="H319" s="1">
        <v>45592</v>
      </c>
      <c r="I319">
        <v>2024</v>
      </c>
      <c r="J319" t="s">
        <v>89</v>
      </c>
      <c r="K319">
        <v>10</v>
      </c>
      <c r="L319" t="s">
        <v>65</v>
      </c>
      <c r="M319" t="s">
        <v>39</v>
      </c>
      <c r="N319" t="s">
        <v>84</v>
      </c>
    </row>
    <row r="320" spans="1:14" x14ac:dyDescent="0.3">
      <c r="A320" t="s">
        <v>134</v>
      </c>
      <c r="B320" t="s">
        <v>25</v>
      </c>
      <c r="C320" t="s">
        <v>171</v>
      </c>
      <c r="D320" t="s">
        <v>17</v>
      </c>
      <c r="E320" t="s">
        <v>231</v>
      </c>
      <c r="F320" t="s">
        <v>19</v>
      </c>
      <c r="G320">
        <v>89000</v>
      </c>
      <c r="H320" s="1">
        <v>45635</v>
      </c>
      <c r="I320">
        <v>2024</v>
      </c>
      <c r="J320" t="s">
        <v>99</v>
      </c>
      <c r="K320">
        <v>12</v>
      </c>
      <c r="L320" t="s">
        <v>21</v>
      </c>
      <c r="M320" t="s">
        <v>22</v>
      </c>
      <c r="N320" t="s">
        <v>31</v>
      </c>
    </row>
    <row r="321" spans="1:14" x14ac:dyDescent="0.3">
      <c r="A321" t="s">
        <v>425</v>
      </c>
      <c r="B321" t="s">
        <v>49</v>
      </c>
      <c r="C321" t="s">
        <v>135</v>
      </c>
      <c r="D321" t="s">
        <v>17</v>
      </c>
      <c r="E321" t="s">
        <v>426</v>
      </c>
      <c r="F321" t="s">
        <v>103</v>
      </c>
      <c r="G321">
        <v>1969000</v>
      </c>
      <c r="H321" s="1">
        <v>43848</v>
      </c>
      <c r="I321">
        <v>2020</v>
      </c>
      <c r="J321" t="s">
        <v>29</v>
      </c>
      <c r="K321">
        <v>1</v>
      </c>
      <c r="L321" t="s">
        <v>38</v>
      </c>
      <c r="M321" t="s">
        <v>30</v>
      </c>
      <c r="N321" t="s">
        <v>40</v>
      </c>
    </row>
    <row r="322" spans="1:14" x14ac:dyDescent="0.3">
      <c r="A322" t="s">
        <v>427</v>
      </c>
      <c r="B322" t="s">
        <v>49</v>
      </c>
      <c r="C322" t="s">
        <v>50</v>
      </c>
      <c r="D322" t="s">
        <v>54</v>
      </c>
      <c r="E322" t="s">
        <v>428</v>
      </c>
      <c r="F322" t="s">
        <v>128</v>
      </c>
      <c r="G322">
        <v>26000</v>
      </c>
      <c r="H322" s="1">
        <v>45092</v>
      </c>
      <c r="I322">
        <v>2023</v>
      </c>
      <c r="J322" t="s">
        <v>141</v>
      </c>
      <c r="K322">
        <v>6</v>
      </c>
      <c r="L322" t="s">
        <v>21</v>
      </c>
      <c r="M322" t="s">
        <v>22</v>
      </c>
      <c r="N322" t="s">
        <v>40</v>
      </c>
    </row>
    <row r="323" spans="1:14" x14ac:dyDescent="0.3">
      <c r="A323" t="s">
        <v>316</v>
      </c>
      <c r="B323" t="s">
        <v>126</v>
      </c>
      <c r="C323" t="s">
        <v>127</v>
      </c>
      <c r="D323" t="s">
        <v>136</v>
      </c>
      <c r="E323" t="s">
        <v>51</v>
      </c>
      <c r="F323" t="s">
        <v>56</v>
      </c>
      <c r="G323">
        <v>518000</v>
      </c>
      <c r="H323" s="1">
        <v>44710</v>
      </c>
      <c r="I323">
        <v>2022</v>
      </c>
      <c r="J323" t="s">
        <v>77</v>
      </c>
      <c r="K323">
        <v>5</v>
      </c>
      <c r="L323" t="s">
        <v>38</v>
      </c>
      <c r="M323" t="s">
        <v>22</v>
      </c>
      <c r="N323" t="s">
        <v>40</v>
      </c>
    </row>
    <row r="324" spans="1:14" x14ac:dyDescent="0.3">
      <c r="A324" t="s">
        <v>80</v>
      </c>
      <c r="B324" t="s">
        <v>186</v>
      </c>
      <c r="C324" t="s">
        <v>127</v>
      </c>
      <c r="D324" t="s">
        <v>111</v>
      </c>
      <c r="E324" t="s">
        <v>429</v>
      </c>
      <c r="F324" t="s">
        <v>103</v>
      </c>
      <c r="G324">
        <v>5977000</v>
      </c>
      <c r="H324" s="1">
        <v>45307</v>
      </c>
      <c r="I324">
        <v>2024</v>
      </c>
      <c r="J324" t="s">
        <v>29</v>
      </c>
      <c r="K324">
        <v>1</v>
      </c>
      <c r="L324" t="s">
        <v>38</v>
      </c>
      <c r="M324" t="s">
        <v>30</v>
      </c>
      <c r="N324" t="s">
        <v>31</v>
      </c>
    </row>
    <row r="325" spans="1:14" x14ac:dyDescent="0.3">
      <c r="A325" t="s">
        <v>285</v>
      </c>
      <c r="B325" t="s">
        <v>49</v>
      </c>
      <c r="C325" t="s">
        <v>225</v>
      </c>
      <c r="D325" t="s">
        <v>44</v>
      </c>
      <c r="E325" t="s">
        <v>293</v>
      </c>
      <c r="F325" t="s">
        <v>103</v>
      </c>
      <c r="G325">
        <v>2134000</v>
      </c>
      <c r="H325" s="1">
        <v>44874</v>
      </c>
      <c r="I325">
        <v>2022</v>
      </c>
      <c r="J325" t="s">
        <v>72</v>
      </c>
      <c r="K325">
        <v>11</v>
      </c>
      <c r="L325" t="s">
        <v>38</v>
      </c>
      <c r="M325" t="s">
        <v>30</v>
      </c>
      <c r="N325" t="s">
        <v>40</v>
      </c>
    </row>
    <row r="326" spans="1:14" x14ac:dyDescent="0.3">
      <c r="A326" t="s">
        <v>430</v>
      </c>
      <c r="B326" t="s">
        <v>49</v>
      </c>
      <c r="C326" t="s">
        <v>135</v>
      </c>
      <c r="D326" t="s">
        <v>44</v>
      </c>
      <c r="E326" t="s">
        <v>226</v>
      </c>
      <c r="F326" t="s">
        <v>103</v>
      </c>
      <c r="G326">
        <v>13274000</v>
      </c>
      <c r="H326" s="1">
        <v>44061</v>
      </c>
      <c r="I326">
        <v>2020</v>
      </c>
      <c r="J326" t="s">
        <v>153</v>
      </c>
      <c r="K326">
        <v>8</v>
      </c>
      <c r="L326" t="s">
        <v>38</v>
      </c>
      <c r="M326" t="s">
        <v>39</v>
      </c>
      <c r="N326" t="s">
        <v>40</v>
      </c>
    </row>
    <row r="327" spans="1:14" x14ac:dyDescent="0.3">
      <c r="A327" t="s">
        <v>24</v>
      </c>
      <c r="B327" t="s">
        <v>32</v>
      </c>
      <c r="C327" t="s">
        <v>33</v>
      </c>
      <c r="D327" t="s">
        <v>96</v>
      </c>
      <c r="E327" t="s">
        <v>431</v>
      </c>
      <c r="F327" t="s">
        <v>128</v>
      </c>
      <c r="G327">
        <v>46000</v>
      </c>
      <c r="H327" s="1">
        <v>44101</v>
      </c>
      <c r="I327">
        <v>2020</v>
      </c>
      <c r="J327" t="s">
        <v>46</v>
      </c>
      <c r="K327">
        <v>9</v>
      </c>
      <c r="L327" t="s">
        <v>21</v>
      </c>
      <c r="M327" t="s">
        <v>22</v>
      </c>
      <c r="N327" t="s">
        <v>40</v>
      </c>
    </row>
    <row r="328" spans="1:14" x14ac:dyDescent="0.3">
      <c r="A328" t="s">
        <v>122</v>
      </c>
      <c r="B328" t="s">
        <v>32</v>
      </c>
      <c r="C328" t="s">
        <v>101</v>
      </c>
      <c r="D328" t="s">
        <v>54</v>
      </c>
      <c r="E328" t="s">
        <v>157</v>
      </c>
      <c r="F328" t="s">
        <v>132</v>
      </c>
      <c r="G328">
        <v>89743000</v>
      </c>
      <c r="H328" s="1">
        <v>45785</v>
      </c>
      <c r="I328">
        <v>2025</v>
      </c>
      <c r="J328" t="s">
        <v>77</v>
      </c>
      <c r="K328">
        <v>5</v>
      </c>
      <c r="L328" t="s">
        <v>65</v>
      </c>
      <c r="M328" t="s">
        <v>39</v>
      </c>
      <c r="N328" t="s">
        <v>40</v>
      </c>
    </row>
    <row r="329" spans="1:14" x14ac:dyDescent="0.3">
      <c r="A329" t="s">
        <v>241</v>
      </c>
      <c r="B329" t="s">
        <v>81</v>
      </c>
      <c r="C329" t="s">
        <v>319</v>
      </c>
      <c r="D329" t="s">
        <v>44</v>
      </c>
      <c r="E329" t="s">
        <v>432</v>
      </c>
      <c r="F329" t="s">
        <v>117</v>
      </c>
      <c r="G329">
        <v>82000</v>
      </c>
      <c r="H329" s="1">
        <v>43954</v>
      </c>
      <c r="I329">
        <v>2020</v>
      </c>
      <c r="J329" t="s">
        <v>77</v>
      </c>
      <c r="K329">
        <v>5</v>
      </c>
      <c r="L329" t="s">
        <v>21</v>
      </c>
      <c r="M329" t="s">
        <v>22</v>
      </c>
      <c r="N329" t="s">
        <v>84</v>
      </c>
    </row>
    <row r="330" spans="1:14" x14ac:dyDescent="0.3">
      <c r="A330" t="s">
        <v>261</v>
      </c>
      <c r="B330" t="s">
        <v>68</v>
      </c>
      <c r="C330" t="s">
        <v>149</v>
      </c>
      <c r="D330" t="s">
        <v>136</v>
      </c>
      <c r="E330" t="s">
        <v>166</v>
      </c>
      <c r="F330" t="s">
        <v>19</v>
      </c>
      <c r="G330">
        <v>235000</v>
      </c>
      <c r="H330" s="1">
        <v>44929</v>
      </c>
      <c r="I330">
        <v>2023</v>
      </c>
      <c r="J330" t="s">
        <v>29</v>
      </c>
      <c r="K330">
        <v>1</v>
      </c>
      <c r="L330" t="s">
        <v>21</v>
      </c>
      <c r="M330" t="s">
        <v>22</v>
      </c>
      <c r="N330" t="s">
        <v>31</v>
      </c>
    </row>
    <row r="331" spans="1:14" x14ac:dyDescent="0.3">
      <c r="A331" t="s">
        <v>433</v>
      </c>
      <c r="B331" t="s">
        <v>15</v>
      </c>
      <c r="C331" t="s">
        <v>16</v>
      </c>
      <c r="D331" t="s">
        <v>111</v>
      </c>
      <c r="E331" t="s">
        <v>434</v>
      </c>
      <c r="F331" t="s">
        <v>19</v>
      </c>
      <c r="G331">
        <v>125000</v>
      </c>
      <c r="H331" s="1">
        <v>45032</v>
      </c>
      <c r="I331">
        <v>2023</v>
      </c>
      <c r="J331" t="s">
        <v>20</v>
      </c>
      <c r="K331">
        <v>4</v>
      </c>
      <c r="L331" t="s">
        <v>21</v>
      </c>
      <c r="M331" t="s">
        <v>22</v>
      </c>
      <c r="N331" t="s">
        <v>23</v>
      </c>
    </row>
    <row r="332" spans="1:14" x14ac:dyDescent="0.3">
      <c r="A332" t="s">
        <v>237</v>
      </c>
      <c r="B332" t="s">
        <v>25</v>
      </c>
      <c r="C332" t="s">
        <v>171</v>
      </c>
      <c r="D332" t="s">
        <v>27</v>
      </c>
      <c r="E332" t="s">
        <v>435</v>
      </c>
      <c r="F332" t="s">
        <v>19</v>
      </c>
      <c r="G332">
        <v>186000</v>
      </c>
      <c r="H332" s="1">
        <v>45724</v>
      </c>
      <c r="I332">
        <v>2025</v>
      </c>
      <c r="J332" t="s">
        <v>37</v>
      </c>
      <c r="K332">
        <v>3</v>
      </c>
      <c r="L332" t="s">
        <v>21</v>
      </c>
      <c r="M332" t="s">
        <v>22</v>
      </c>
      <c r="N332" t="s">
        <v>31</v>
      </c>
    </row>
    <row r="333" spans="1:14" x14ac:dyDescent="0.3">
      <c r="A333" t="s">
        <v>376</v>
      </c>
      <c r="B333" t="s">
        <v>25</v>
      </c>
      <c r="C333" t="s">
        <v>26</v>
      </c>
      <c r="D333" t="s">
        <v>54</v>
      </c>
      <c r="E333" t="s">
        <v>140</v>
      </c>
      <c r="F333" t="s">
        <v>19</v>
      </c>
      <c r="G333">
        <v>819000</v>
      </c>
      <c r="H333" s="1">
        <v>45280</v>
      </c>
      <c r="I333">
        <v>2023</v>
      </c>
      <c r="J333" t="s">
        <v>99</v>
      </c>
      <c r="K333">
        <v>12</v>
      </c>
      <c r="L333" t="s">
        <v>21</v>
      </c>
      <c r="M333" t="s">
        <v>22</v>
      </c>
      <c r="N333" t="s">
        <v>31</v>
      </c>
    </row>
    <row r="334" spans="1:14" x14ac:dyDescent="0.3">
      <c r="A334" t="s">
        <v>318</v>
      </c>
      <c r="B334" t="s">
        <v>42</v>
      </c>
      <c r="C334" t="s">
        <v>43</v>
      </c>
      <c r="D334" t="s">
        <v>111</v>
      </c>
      <c r="E334" t="s">
        <v>436</v>
      </c>
      <c r="F334" t="s">
        <v>103</v>
      </c>
      <c r="G334">
        <v>1040000</v>
      </c>
      <c r="H334" s="1">
        <v>45515</v>
      </c>
      <c r="I334">
        <v>2024</v>
      </c>
      <c r="J334" t="s">
        <v>153</v>
      </c>
      <c r="K334">
        <v>8</v>
      </c>
      <c r="L334" t="s">
        <v>38</v>
      </c>
      <c r="M334" t="s">
        <v>30</v>
      </c>
      <c r="N334" t="s">
        <v>47</v>
      </c>
    </row>
    <row r="335" spans="1:14" x14ac:dyDescent="0.3">
      <c r="A335" t="s">
        <v>331</v>
      </c>
      <c r="B335" t="s">
        <v>186</v>
      </c>
      <c r="C335" t="s">
        <v>187</v>
      </c>
      <c r="D335" t="s">
        <v>96</v>
      </c>
      <c r="E335" t="s">
        <v>437</v>
      </c>
      <c r="F335" t="s">
        <v>132</v>
      </c>
      <c r="G335">
        <v>27387000</v>
      </c>
      <c r="H335" s="1">
        <v>44388</v>
      </c>
      <c r="I335">
        <v>2021</v>
      </c>
      <c r="J335" t="s">
        <v>57</v>
      </c>
      <c r="K335">
        <v>7</v>
      </c>
      <c r="L335" t="s">
        <v>65</v>
      </c>
      <c r="M335" t="s">
        <v>39</v>
      </c>
      <c r="N335" t="s">
        <v>31</v>
      </c>
    </row>
    <row r="336" spans="1:14" x14ac:dyDescent="0.3">
      <c r="A336" t="s">
        <v>167</v>
      </c>
      <c r="B336" t="s">
        <v>42</v>
      </c>
      <c r="C336" t="s">
        <v>43</v>
      </c>
      <c r="D336" t="s">
        <v>111</v>
      </c>
      <c r="E336" t="s">
        <v>63</v>
      </c>
      <c r="F336" t="s">
        <v>56</v>
      </c>
      <c r="G336">
        <v>111000</v>
      </c>
      <c r="H336" s="1">
        <v>44854</v>
      </c>
      <c r="I336">
        <v>2022</v>
      </c>
      <c r="J336" t="s">
        <v>89</v>
      </c>
      <c r="K336">
        <v>10</v>
      </c>
      <c r="L336" t="s">
        <v>38</v>
      </c>
      <c r="M336" t="s">
        <v>22</v>
      </c>
      <c r="N336" t="s">
        <v>47</v>
      </c>
    </row>
    <row r="337" spans="1:14" x14ac:dyDescent="0.3">
      <c r="A337" t="s">
        <v>104</v>
      </c>
      <c r="B337" t="s">
        <v>126</v>
      </c>
      <c r="C337" t="s">
        <v>127</v>
      </c>
      <c r="D337" t="s">
        <v>17</v>
      </c>
      <c r="E337" t="s">
        <v>121</v>
      </c>
      <c r="F337" t="s">
        <v>19</v>
      </c>
      <c r="G337">
        <v>58000</v>
      </c>
      <c r="H337" s="1">
        <v>44873</v>
      </c>
      <c r="I337">
        <v>2022</v>
      </c>
      <c r="J337" t="s">
        <v>72</v>
      </c>
      <c r="K337">
        <v>11</v>
      </c>
      <c r="L337" t="s">
        <v>21</v>
      </c>
      <c r="M337" t="s">
        <v>22</v>
      </c>
      <c r="N337" t="s">
        <v>40</v>
      </c>
    </row>
    <row r="338" spans="1:14" x14ac:dyDescent="0.3">
      <c r="A338" t="s">
        <v>438</v>
      </c>
      <c r="B338" t="s">
        <v>42</v>
      </c>
      <c r="C338" t="s">
        <v>43</v>
      </c>
      <c r="D338" t="s">
        <v>136</v>
      </c>
      <c r="E338" t="s">
        <v>192</v>
      </c>
      <c r="F338" t="s">
        <v>128</v>
      </c>
      <c r="G338">
        <v>65000</v>
      </c>
      <c r="H338" s="1">
        <v>44197</v>
      </c>
      <c r="I338">
        <v>2021</v>
      </c>
      <c r="J338" t="s">
        <v>29</v>
      </c>
      <c r="K338">
        <v>1</v>
      </c>
      <c r="L338" t="s">
        <v>21</v>
      </c>
      <c r="M338" t="s">
        <v>22</v>
      </c>
      <c r="N338" t="s">
        <v>47</v>
      </c>
    </row>
    <row r="339" spans="1:14" x14ac:dyDescent="0.3">
      <c r="A339" t="s">
        <v>173</v>
      </c>
      <c r="B339" t="s">
        <v>15</v>
      </c>
      <c r="C339" t="s">
        <v>53</v>
      </c>
      <c r="D339" t="s">
        <v>96</v>
      </c>
      <c r="E339" t="s">
        <v>439</v>
      </c>
      <c r="F339" t="s">
        <v>19</v>
      </c>
      <c r="G339">
        <v>670000</v>
      </c>
      <c r="H339" s="1">
        <v>43990</v>
      </c>
      <c r="I339">
        <v>2020</v>
      </c>
      <c r="J339" t="s">
        <v>141</v>
      </c>
      <c r="K339">
        <v>6</v>
      </c>
      <c r="L339" t="s">
        <v>21</v>
      </c>
      <c r="M339" t="s">
        <v>22</v>
      </c>
      <c r="N339" t="s">
        <v>23</v>
      </c>
    </row>
    <row r="340" spans="1:14" x14ac:dyDescent="0.3">
      <c r="A340" t="s">
        <v>48</v>
      </c>
      <c r="B340" t="s">
        <v>105</v>
      </c>
      <c r="C340" t="s">
        <v>345</v>
      </c>
      <c r="D340" t="s">
        <v>111</v>
      </c>
      <c r="E340" t="s">
        <v>172</v>
      </c>
      <c r="F340" t="s">
        <v>92</v>
      </c>
      <c r="G340">
        <v>1904000</v>
      </c>
      <c r="H340" s="1">
        <v>45784</v>
      </c>
      <c r="I340">
        <v>2025</v>
      </c>
      <c r="J340" t="s">
        <v>77</v>
      </c>
      <c r="K340">
        <v>5</v>
      </c>
      <c r="L340" t="s">
        <v>65</v>
      </c>
      <c r="M340" t="s">
        <v>30</v>
      </c>
      <c r="N340" t="s">
        <v>23</v>
      </c>
    </row>
    <row r="341" spans="1:14" x14ac:dyDescent="0.3">
      <c r="A341" t="s">
        <v>210</v>
      </c>
      <c r="B341" t="s">
        <v>94</v>
      </c>
      <c r="C341" t="s">
        <v>159</v>
      </c>
      <c r="D341" t="s">
        <v>17</v>
      </c>
      <c r="E341" t="s">
        <v>18</v>
      </c>
      <c r="F341" t="s">
        <v>103</v>
      </c>
      <c r="G341">
        <v>1303000</v>
      </c>
      <c r="H341" s="1">
        <v>43847</v>
      </c>
      <c r="I341">
        <v>2020</v>
      </c>
      <c r="J341" t="s">
        <v>29</v>
      </c>
      <c r="K341">
        <v>1</v>
      </c>
      <c r="L341" t="s">
        <v>38</v>
      </c>
      <c r="M341" t="s">
        <v>30</v>
      </c>
      <c r="N341" t="s">
        <v>40</v>
      </c>
    </row>
    <row r="342" spans="1:14" x14ac:dyDescent="0.3">
      <c r="A342" t="s">
        <v>269</v>
      </c>
      <c r="B342" t="s">
        <v>25</v>
      </c>
      <c r="C342" t="s">
        <v>26</v>
      </c>
      <c r="D342" t="s">
        <v>44</v>
      </c>
      <c r="E342" t="s">
        <v>440</v>
      </c>
      <c r="F342" t="s">
        <v>103</v>
      </c>
      <c r="G342">
        <v>3786000</v>
      </c>
      <c r="H342" s="1">
        <v>45042</v>
      </c>
      <c r="I342">
        <v>2023</v>
      </c>
      <c r="J342" t="s">
        <v>20</v>
      </c>
      <c r="K342">
        <v>4</v>
      </c>
      <c r="L342" t="s">
        <v>38</v>
      </c>
      <c r="M342" t="s">
        <v>30</v>
      </c>
      <c r="N342" t="s">
        <v>31</v>
      </c>
    </row>
    <row r="343" spans="1:14" x14ac:dyDescent="0.3">
      <c r="A343" t="s">
        <v>158</v>
      </c>
      <c r="B343" t="s">
        <v>68</v>
      </c>
      <c r="C343" t="s">
        <v>324</v>
      </c>
      <c r="D343" t="s">
        <v>44</v>
      </c>
      <c r="E343" t="s">
        <v>441</v>
      </c>
      <c r="F343" t="s">
        <v>103</v>
      </c>
      <c r="G343">
        <v>3605000</v>
      </c>
      <c r="H343" s="1">
        <v>45133</v>
      </c>
      <c r="I343">
        <v>2023</v>
      </c>
      <c r="J343" t="s">
        <v>57</v>
      </c>
      <c r="K343">
        <v>7</v>
      </c>
      <c r="L343" t="s">
        <v>38</v>
      </c>
      <c r="M343" t="s">
        <v>30</v>
      </c>
      <c r="N343" t="s">
        <v>31</v>
      </c>
    </row>
    <row r="344" spans="1:14" x14ac:dyDescent="0.3">
      <c r="A344" t="s">
        <v>193</v>
      </c>
      <c r="B344" t="s">
        <v>25</v>
      </c>
      <c r="C344" t="s">
        <v>168</v>
      </c>
      <c r="D344" t="s">
        <v>17</v>
      </c>
      <c r="E344" t="s">
        <v>172</v>
      </c>
      <c r="F344" t="s">
        <v>19</v>
      </c>
      <c r="G344">
        <v>95000</v>
      </c>
      <c r="H344" s="1">
        <v>44318</v>
      </c>
      <c r="I344">
        <v>2021</v>
      </c>
      <c r="J344" t="s">
        <v>77</v>
      </c>
      <c r="K344">
        <v>5</v>
      </c>
      <c r="L344" t="s">
        <v>21</v>
      </c>
      <c r="M344" t="s">
        <v>22</v>
      </c>
      <c r="N344" t="s">
        <v>31</v>
      </c>
    </row>
    <row r="345" spans="1:14" x14ac:dyDescent="0.3">
      <c r="A345" t="s">
        <v>442</v>
      </c>
      <c r="B345" t="s">
        <v>186</v>
      </c>
      <c r="C345" t="s">
        <v>187</v>
      </c>
      <c r="D345" t="s">
        <v>44</v>
      </c>
      <c r="E345" t="s">
        <v>443</v>
      </c>
      <c r="F345" t="s">
        <v>128</v>
      </c>
      <c r="G345">
        <v>18000</v>
      </c>
      <c r="H345" s="1">
        <v>44895</v>
      </c>
      <c r="I345">
        <v>2022</v>
      </c>
      <c r="J345" t="s">
        <v>72</v>
      </c>
      <c r="K345">
        <v>11</v>
      </c>
      <c r="L345" t="s">
        <v>21</v>
      </c>
      <c r="M345" t="s">
        <v>22</v>
      </c>
      <c r="N345" t="s">
        <v>31</v>
      </c>
    </row>
    <row r="346" spans="1:14" x14ac:dyDescent="0.3">
      <c r="A346" t="s">
        <v>394</v>
      </c>
      <c r="B346" t="s">
        <v>32</v>
      </c>
      <c r="C346" t="s">
        <v>33</v>
      </c>
      <c r="D346" t="s">
        <v>136</v>
      </c>
      <c r="E346" t="s">
        <v>183</v>
      </c>
      <c r="F346" t="s">
        <v>19</v>
      </c>
      <c r="G346">
        <v>217000</v>
      </c>
      <c r="H346" s="1">
        <v>44993</v>
      </c>
      <c r="I346">
        <v>2023</v>
      </c>
      <c r="J346" t="s">
        <v>37</v>
      </c>
      <c r="K346">
        <v>3</v>
      </c>
      <c r="L346" t="s">
        <v>21</v>
      </c>
      <c r="M346" t="s">
        <v>22</v>
      </c>
      <c r="N346" t="s">
        <v>40</v>
      </c>
    </row>
    <row r="347" spans="1:14" x14ac:dyDescent="0.3">
      <c r="A347" t="s">
        <v>259</v>
      </c>
      <c r="B347" t="s">
        <v>94</v>
      </c>
      <c r="C347" t="s">
        <v>159</v>
      </c>
      <c r="D347" t="s">
        <v>136</v>
      </c>
      <c r="E347" t="s">
        <v>301</v>
      </c>
      <c r="F347" t="s">
        <v>36</v>
      </c>
      <c r="G347">
        <v>27576000</v>
      </c>
      <c r="H347" s="1">
        <v>45337</v>
      </c>
      <c r="I347">
        <v>2024</v>
      </c>
      <c r="J347" t="s">
        <v>108</v>
      </c>
      <c r="K347">
        <v>2</v>
      </c>
      <c r="L347" t="s">
        <v>38</v>
      </c>
      <c r="M347" t="s">
        <v>39</v>
      </c>
      <c r="N347" t="s">
        <v>40</v>
      </c>
    </row>
    <row r="348" spans="1:14" x14ac:dyDescent="0.3">
      <c r="A348" t="s">
        <v>178</v>
      </c>
      <c r="B348" t="s">
        <v>15</v>
      </c>
      <c r="C348" t="s">
        <v>16</v>
      </c>
      <c r="D348" t="s">
        <v>75</v>
      </c>
      <c r="E348" t="s">
        <v>183</v>
      </c>
      <c r="F348" t="s">
        <v>19</v>
      </c>
      <c r="G348">
        <v>521000</v>
      </c>
      <c r="H348" s="1">
        <v>44047</v>
      </c>
      <c r="I348">
        <v>2020</v>
      </c>
      <c r="J348" t="s">
        <v>153</v>
      </c>
      <c r="K348">
        <v>8</v>
      </c>
      <c r="L348" t="s">
        <v>21</v>
      </c>
      <c r="M348" t="s">
        <v>22</v>
      </c>
      <c r="N348" t="s">
        <v>23</v>
      </c>
    </row>
    <row r="349" spans="1:14" x14ac:dyDescent="0.3">
      <c r="A349" t="s">
        <v>142</v>
      </c>
      <c r="B349" t="s">
        <v>32</v>
      </c>
      <c r="C349" t="s">
        <v>138</v>
      </c>
      <c r="D349" t="s">
        <v>44</v>
      </c>
      <c r="E349" t="s">
        <v>28</v>
      </c>
      <c r="F349" t="s">
        <v>103</v>
      </c>
      <c r="G349">
        <v>1131000</v>
      </c>
      <c r="H349" s="1">
        <v>44779</v>
      </c>
      <c r="I349">
        <v>2022</v>
      </c>
      <c r="J349" t="s">
        <v>153</v>
      </c>
      <c r="K349">
        <v>8</v>
      </c>
      <c r="L349" t="s">
        <v>38</v>
      </c>
      <c r="M349" t="s">
        <v>30</v>
      </c>
      <c r="N349" t="s">
        <v>40</v>
      </c>
    </row>
    <row r="350" spans="1:14" x14ac:dyDescent="0.3">
      <c r="A350" t="s">
        <v>155</v>
      </c>
      <c r="B350" t="s">
        <v>105</v>
      </c>
      <c r="C350" t="s">
        <v>106</v>
      </c>
      <c r="D350" t="s">
        <v>75</v>
      </c>
      <c r="E350" t="s">
        <v>231</v>
      </c>
      <c r="F350" t="s">
        <v>117</v>
      </c>
      <c r="G350">
        <v>47000</v>
      </c>
      <c r="H350" s="1">
        <v>45542</v>
      </c>
      <c r="I350">
        <v>2024</v>
      </c>
      <c r="J350" t="s">
        <v>46</v>
      </c>
      <c r="K350">
        <v>9</v>
      </c>
      <c r="L350" t="s">
        <v>21</v>
      </c>
      <c r="M350" t="s">
        <v>22</v>
      </c>
      <c r="N350" t="s">
        <v>23</v>
      </c>
    </row>
    <row r="351" spans="1:14" x14ac:dyDescent="0.3">
      <c r="A351" t="s">
        <v>80</v>
      </c>
      <c r="B351" t="s">
        <v>68</v>
      </c>
      <c r="C351" t="s">
        <v>149</v>
      </c>
      <c r="D351" t="s">
        <v>27</v>
      </c>
      <c r="E351" t="s">
        <v>157</v>
      </c>
      <c r="F351" t="s">
        <v>36</v>
      </c>
      <c r="G351">
        <v>28352000</v>
      </c>
      <c r="H351" s="1">
        <v>44363</v>
      </c>
      <c r="I351">
        <v>2021</v>
      </c>
      <c r="J351" t="s">
        <v>141</v>
      </c>
      <c r="K351">
        <v>6</v>
      </c>
      <c r="L351" t="s">
        <v>38</v>
      </c>
      <c r="M351" t="s">
        <v>39</v>
      </c>
      <c r="N351" t="s">
        <v>31</v>
      </c>
    </row>
    <row r="352" spans="1:14" x14ac:dyDescent="0.3">
      <c r="A352" t="s">
        <v>232</v>
      </c>
      <c r="B352" t="s">
        <v>32</v>
      </c>
      <c r="C352" t="s">
        <v>101</v>
      </c>
      <c r="D352" t="s">
        <v>111</v>
      </c>
      <c r="E352" t="s">
        <v>51</v>
      </c>
      <c r="F352" t="s">
        <v>19</v>
      </c>
      <c r="G352">
        <v>320000</v>
      </c>
      <c r="H352" s="1">
        <v>44777</v>
      </c>
      <c r="I352">
        <v>2022</v>
      </c>
      <c r="J352" t="s">
        <v>153</v>
      </c>
      <c r="K352">
        <v>8</v>
      </c>
      <c r="L352" t="s">
        <v>21</v>
      </c>
      <c r="M352" t="s">
        <v>22</v>
      </c>
      <c r="N352" t="s">
        <v>40</v>
      </c>
    </row>
    <row r="353" spans="1:14" x14ac:dyDescent="0.3">
      <c r="A353" t="s">
        <v>316</v>
      </c>
      <c r="B353" t="s">
        <v>81</v>
      </c>
      <c r="C353" t="s">
        <v>130</v>
      </c>
      <c r="D353" t="s">
        <v>54</v>
      </c>
      <c r="E353" t="s">
        <v>315</v>
      </c>
      <c r="F353" t="s">
        <v>19</v>
      </c>
      <c r="G353">
        <v>1178000</v>
      </c>
      <c r="H353" s="1">
        <v>44651</v>
      </c>
      <c r="I353">
        <v>2022</v>
      </c>
      <c r="J353" t="s">
        <v>37</v>
      </c>
      <c r="K353">
        <v>3</v>
      </c>
      <c r="L353" t="s">
        <v>21</v>
      </c>
      <c r="M353" t="s">
        <v>30</v>
      </c>
      <c r="N353" t="s">
        <v>84</v>
      </c>
    </row>
    <row r="354" spans="1:14" x14ac:dyDescent="0.3">
      <c r="A354" t="s">
        <v>394</v>
      </c>
      <c r="B354" t="s">
        <v>94</v>
      </c>
      <c r="C354" t="s">
        <v>95</v>
      </c>
      <c r="D354" t="s">
        <v>27</v>
      </c>
      <c r="E354" t="s">
        <v>444</v>
      </c>
      <c r="F354" t="s">
        <v>92</v>
      </c>
      <c r="G354">
        <v>5995000</v>
      </c>
      <c r="H354" s="1">
        <v>44235</v>
      </c>
      <c r="I354">
        <v>2021</v>
      </c>
      <c r="J354" t="s">
        <v>108</v>
      </c>
      <c r="K354">
        <v>2</v>
      </c>
      <c r="L354" t="s">
        <v>65</v>
      </c>
      <c r="M354" t="s">
        <v>30</v>
      </c>
      <c r="N354" t="s">
        <v>40</v>
      </c>
    </row>
    <row r="355" spans="1:14" x14ac:dyDescent="0.3">
      <c r="A355" t="s">
        <v>282</v>
      </c>
      <c r="B355" t="s">
        <v>42</v>
      </c>
      <c r="C355" t="s">
        <v>182</v>
      </c>
      <c r="D355" t="s">
        <v>54</v>
      </c>
      <c r="E355" t="s">
        <v>445</v>
      </c>
      <c r="F355" t="s">
        <v>128</v>
      </c>
      <c r="G355">
        <v>8000</v>
      </c>
      <c r="H355" s="1">
        <v>44718</v>
      </c>
      <c r="I355">
        <v>2022</v>
      </c>
      <c r="J355" t="s">
        <v>141</v>
      </c>
      <c r="K355">
        <v>6</v>
      </c>
      <c r="L355" t="s">
        <v>21</v>
      </c>
      <c r="M355" t="s">
        <v>22</v>
      </c>
      <c r="N355" t="s">
        <v>47</v>
      </c>
    </row>
    <row r="356" spans="1:14" x14ac:dyDescent="0.3">
      <c r="A356" t="s">
        <v>370</v>
      </c>
      <c r="B356" t="s">
        <v>86</v>
      </c>
      <c r="C356" t="s">
        <v>87</v>
      </c>
      <c r="D356" t="s">
        <v>54</v>
      </c>
      <c r="E356" t="s">
        <v>157</v>
      </c>
      <c r="F356" t="s">
        <v>19</v>
      </c>
      <c r="G356">
        <v>65000</v>
      </c>
      <c r="H356" s="1">
        <v>44744</v>
      </c>
      <c r="I356">
        <v>2022</v>
      </c>
      <c r="J356" t="s">
        <v>57</v>
      </c>
      <c r="K356">
        <v>7</v>
      </c>
      <c r="L356" t="s">
        <v>21</v>
      </c>
      <c r="M356" t="s">
        <v>22</v>
      </c>
      <c r="N356" t="s">
        <v>47</v>
      </c>
    </row>
    <row r="357" spans="1:14" x14ac:dyDescent="0.3">
      <c r="A357" t="s">
        <v>158</v>
      </c>
      <c r="B357" t="s">
        <v>42</v>
      </c>
      <c r="C357" t="s">
        <v>43</v>
      </c>
      <c r="D357" t="s">
        <v>111</v>
      </c>
      <c r="E357" t="s">
        <v>97</v>
      </c>
      <c r="F357" t="s">
        <v>103</v>
      </c>
      <c r="G357">
        <v>5696000</v>
      </c>
      <c r="H357" s="1">
        <v>44010</v>
      </c>
      <c r="I357">
        <v>2020</v>
      </c>
      <c r="J357" t="s">
        <v>141</v>
      </c>
      <c r="K357">
        <v>6</v>
      </c>
      <c r="L357" t="s">
        <v>38</v>
      </c>
      <c r="M357" t="s">
        <v>30</v>
      </c>
      <c r="N357" t="s">
        <v>47</v>
      </c>
    </row>
    <row r="358" spans="1:14" x14ac:dyDescent="0.3">
      <c r="A358" t="s">
        <v>173</v>
      </c>
      <c r="B358" t="s">
        <v>59</v>
      </c>
      <c r="C358" t="s">
        <v>60</v>
      </c>
      <c r="D358" t="s">
        <v>44</v>
      </c>
      <c r="E358" t="s">
        <v>440</v>
      </c>
      <c r="F358" t="s">
        <v>36</v>
      </c>
      <c r="G358">
        <v>5381000</v>
      </c>
      <c r="H358" s="1">
        <v>45473</v>
      </c>
      <c r="I358">
        <v>2024</v>
      </c>
      <c r="J358" t="s">
        <v>141</v>
      </c>
      <c r="K358">
        <v>6</v>
      </c>
      <c r="L358" t="s">
        <v>38</v>
      </c>
      <c r="M358" t="s">
        <v>30</v>
      </c>
      <c r="N358" t="s">
        <v>31</v>
      </c>
    </row>
    <row r="359" spans="1:14" x14ac:dyDescent="0.3">
      <c r="A359" t="s">
        <v>446</v>
      </c>
      <c r="B359" t="s">
        <v>42</v>
      </c>
      <c r="C359" t="s">
        <v>205</v>
      </c>
      <c r="D359" t="s">
        <v>70</v>
      </c>
      <c r="E359" t="s">
        <v>447</v>
      </c>
      <c r="F359" t="s">
        <v>19</v>
      </c>
      <c r="G359">
        <v>434000</v>
      </c>
      <c r="H359" s="1">
        <v>44989</v>
      </c>
      <c r="I359">
        <v>2023</v>
      </c>
      <c r="J359" t="s">
        <v>37</v>
      </c>
      <c r="K359">
        <v>3</v>
      </c>
      <c r="L359" t="s">
        <v>21</v>
      </c>
      <c r="M359" t="s">
        <v>22</v>
      </c>
      <c r="N359" t="s">
        <v>47</v>
      </c>
    </row>
    <row r="360" spans="1:14" x14ac:dyDescent="0.3">
      <c r="A360" t="s">
        <v>285</v>
      </c>
      <c r="B360" t="s">
        <v>15</v>
      </c>
      <c r="C360" t="s">
        <v>74</v>
      </c>
      <c r="D360" t="s">
        <v>34</v>
      </c>
      <c r="E360" t="s">
        <v>448</v>
      </c>
      <c r="F360" t="s">
        <v>19</v>
      </c>
      <c r="G360">
        <v>1604000</v>
      </c>
      <c r="H360" s="1">
        <v>44797</v>
      </c>
      <c r="I360">
        <v>2022</v>
      </c>
      <c r="J360" t="s">
        <v>153</v>
      </c>
      <c r="K360">
        <v>8</v>
      </c>
      <c r="L360" t="s">
        <v>21</v>
      </c>
      <c r="M360" t="s">
        <v>30</v>
      </c>
      <c r="N360" t="s">
        <v>23</v>
      </c>
    </row>
    <row r="361" spans="1:14" x14ac:dyDescent="0.3">
      <c r="A361" t="s">
        <v>274</v>
      </c>
      <c r="B361" t="s">
        <v>105</v>
      </c>
      <c r="C361" t="s">
        <v>162</v>
      </c>
      <c r="D361" t="s">
        <v>44</v>
      </c>
      <c r="E361" t="s">
        <v>255</v>
      </c>
      <c r="F361" t="s">
        <v>36</v>
      </c>
      <c r="G361">
        <v>24655000</v>
      </c>
      <c r="H361" s="1">
        <v>44376</v>
      </c>
      <c r="I361">
        <v>2021</v>
      </c>
      <c r="J361" t="s">
        <v>141</v>
      </c>
      <c r="K361">
        <v>6</v>
      </c>
      <c r="L361" t="s">
        <v>38</v>
      </c>
      <c r="M361" t="s">
        <v>39</v>
      </c>
      <c r="N361" t="s">
        <v>23</v>
      </c>
    </row>
    <row r="362" spans="1:14" x14ac:dyDescent="0.3">
      <c r="A362" t="s">
        <v>376</v>
      </c>
      <c r="B362" t="s">
        <v>15</v>
      </c>
      <c r="C362" t="s">
        <v>53</v>
      </c>
      <c r="D362" t="s">
        <v>96</v>
      </c>
      <c r="E362" t="s">
        <v>63</v>
      </c>
      <c r="F362" t="s">
        <v>128</v>
      </c>
      <c r="G362">
        <v>16000</v>
      </c>
      <c r="H362" s="1">
        <v>45562</v>
      </c>
      <c r="I362">
        <v>2024</v>
      </c>
      <c r="J362" t="s">
        <v>46</v>
      </c>
      <c r="K362">
        <v>9</v>
      </c>
      <c r="L362" t="s">
        <v>21</v>
      </c>
      <c r="M362" t="s">
        <v>22</v>
      </c>
      <c r="N362" t="s">
        <v>23</v>
      </c>
    </row>
    <row r="363" spans="1:14" x14ac:dyDescent="0.3">
      <c r="A363" t="s">
        <v>355</v>
      </c>
      <c r="B363" t="s">
        <v>25</v>
      </c>
      <c r="C363" t="s">
        <v>168</v>
      </c>
      <c r="D363" t="s">
        <v>75</v>
      </c>
      <c r="E363" t="s">
        <v>234</v>
      </c>
      <c r="F363" t="s">
        <v>117</v>
      </c>
      <c r="G363">
        <v>88000</v>
      </c>
      <c r="H363" s="1">
        <v>45265</v>
      </c>
      <c r="I363">
        <v>2023</v>
      </c>
      <c r="J363" t="s">
        <v>99</v>
      </c>
      <c r="K363">
        <v>12</v>
      </c>
      <c r="L363" t="s">
        <v>21</v>
      </c>
      <c r="M363" t="s">
        <v>22</v>
      </c>
      <c r="N363" t="s">
        <v>31</v>
      </c>
    </row>
    <row r="364" spans="1:14" x14ac:dyDescent="0.3">
      <c r="A364" t="s">
        <v>442</v>
      </c>
      <c r="B364" t="s">
        <v>15</v>
      </c>
      <c r="C364" t="s">
        <v>53</v>
      </c>
      <c r="D364" t="s">
        <v>111</v>
      </c>
      <c r="E364" t="s">
        <v>112</v>
      </c>
      <c r="F364" t="s">
        <v>19</v>
      </c>
      <c r="G364">
        <v>271000</v>
      </c>
      <c r="H364" s="1">
        <v>44835</v>
      </c>
      <c r="I364">
        <v>2022</v>
      </c>
      <c r="J364" t="s">
        <v>89</v>
      </c>
      <c r="K364">
        <v>10</v>
      </c>
      <c r="L364" t="s">
        <v>21</v>
      </c>
      <c r="M364" t="s">
        <v>22</v>
      </c>
      <c r="N364" t="s">
        <v>23</v>
      </c>
    </row>
    <row r="365" spans="1:14" x14ac:dyDescent="0.3">
      <c r="A365" t="s">
        <v>274</v>
      </c>
      <c r="B365" t="s">
        <v>126</v>
      </c>
      <c r="C365" t="s">
        <v>159</v>
      </c>
      <c r="D365" t="s">
        <v>27</v>
      </c>
      <c r="E365" t="s">
        <v>369</v>
      </c>
      <c r="F365" t="s">
        <v>103</v>
      </c>
      <c r="G365">
        <v>4382000</v>
      </c>
      <c r="H365" s="1">
        <v>43832</v>
      </c>
      <c r="I365">
        <v>2020</v>
      </c>
      <c r="J365" t="s">
        <v>29</v>
      </c>
      <c r="K365">
        <v>1</v>
      </c>
      <c r="L365" t="s">
        <v>38</v>
      </c>
      <c r="M365" t="s">
        <v>30</v>
      </c>
      <c r="N365" t="s">
        <v>40</v>
      </c>
    </row>
    <row r="366" spans="1:14" x14ac:dyDescent="0.3">
      <c r="A366" t="s">
        <v>342</v>
      </c>
      <c r="B366" t="s">
        <v>86</v>
      </c>
      <c r="C366" t="s">
        <v>87</v>
      </c>
      <c r="D366" t="s">
        <v>96</v>
      </c>
      <c r="E366" t="s">
        <v>449</v>
      </c>
      <c r="F366" t="s">
        <v>19</v>
      </c>
      <c r="G366">
        <v>1612000</v>
      </c>
      <c r="H366" s="1">
        <v>44133</v>
      </c>
      <c r="I366">
        <v>2020</v>
      </c>
      <c r="J366" t="s">
        <v>89</v>
      </c>
      <c r="K366">
        <v>10</v>
      </c>
      <c r="L366" t="s">
        <v>21</v>
      </c>
      <c r="M366" t="s">
        <v>30</v>
      </c>
      <c r="N366" t="s">
        <v>47</v>
      </c>
    </row>
    <row r="367" spans="1:14" x14ac:dyDescent="0.3">
      <c r="A367" t="s">
        <v>450</v>
      </c>
      <c r="B367" t="s">
        <v>114</v>
      </c>
      <c r="C367" t="s">
        <v>243</v>
      </c>
      <c r="D367" t="s">
        <v>96</v>
      </c>
      <c r="E367" t="s">
        <v>451</v>
      </c>
      <c r="F367" t="s">
        <v>188</v>
      </c>
      <c r="G367">
        <v>208000</v>
      </c>
      <c r="H367" s="1">
        <v>44596</v>
      </c>
      <c r="I367">
        <v>2022</v>
      </c>
      <c r="J367" t="s">
        <v>108</v>
      </c>
      <c r="K367">
        <v>2</v>
      </c>
      <c r="L367" t="s">
        <v>38</v>
      </c>
      <c r="M367" t="s">
        <v>22</v>
      </c>
      <c r="N367" t="s">
        <v>47</v>
      </c>
    </row>
    <row r="368" spans="1:14" x14ac:dyDescent="0.3">
      <c r="A368" t="s">
        <v>269</v>
      </c>
      <c r="B368" t="s">
        <v>86</v>
      </c>
      <c r="C368" t="s">
        <v>87</v>
      </c>
      <c r="D368" t="s">
        <v>54</v>
      </c>
      <c r="E368" t="s">
        <v>452</v>
      </c>
      <c r="F368" t="s">
        <v>36</v>
      </c>
      <c r="G368">
        <v>71839000</v>
      </c>
      <c r="H368" s="1">
        <v>44725</v>
      </c>
      <c r="I368">
        <v>2022</v>
      </c>
      <c r="J368" t="s">
        <v>141</v>
      </c>
      <c r="K368">
        <v>6</v>
      </c>
      <c r="L368" t="s">
        <v>38</v>
      </c>
      <c r="M368" t="s">
        <v>39</v>
      </c>
      <c r="N368" t="s">
        <v>47</v>
      </c>
    </row>
    <row r="369" spans="1:14" x14ac:dyDescent="0.3">
      <c r="A369" t="s">
        <v>446</v>
      </c>
      <c r="B369" t="s">
        <v>15</v>
      </c>
      <c r="C369" t="s">
        <v>16</v>
      </c>
      <c r="D369" t="s">
        <v>136</v>
      </c>
      <c r="E369" t="s">
        <v>231</v>
      </c>
      <c r="F369" t="s">
        <v>19</v>
      </c>
      <c r="G369">
        <v>1411000</v>
      </c>
      <c r="H369" s="1">
        <v>45241</v>
      </c>
      <c r="I369">
        <v>2023</v>
      </c>
      <c r="J369" t="s">
        <v>72</v>
      </c>
      <c r="K369">
        <v>11</v>
      </c>
      <c r="L369" t="s">
        <v>21</v>
      </c>
      <c r="M369" t="s">
        <v>30</v>
      </c>
      <c r="N369" t="s">
        <v>23</v>
      </c>
    </row>
    <row r="370" spans="1:14" x14ac:dyDescent="0.3">
      <c r="A370" t="s">
        <v>67</v>
      </c>
      <c r="B370" t="s">
        <v>25</v>
      </c>
      <c r="C370" t="s">
        <v>26</v>
      </c>
      <c r="D370" t="s">
        <v>136</v>
      </c>
      <c r="E370" t="s">
        <v>453</v>
      </c>
      <c r="F370" t="s">
        <v>175</v>
      </c>
      <c r="G370">
        <v>78480000</v>
      </c>
      <c r="H370" s="1">
        <v>45409</v>
      </c>
      <c r="I370">
        <v>2024</v>
      </c>
      <c r="J370" t="s">
        <v>20</v>
      </c>
      <c r="K370">
        <v>4</v>
      </c>
      <c r="L370" t="s">
        <v>65</v>
      </c>
      <c r="M370" t="s">
        <v>39</v>
      </c>
      <c r="N370" t="s">
        <v>31</v>
      </c>
    </row>
    <row r="371" spans="1:14" x14ac:dyDescent="0.3">
      <c r="A371" t="s">
        <v>297</v>
      </c>
      <c r="B371" t="s">
        <v>186</v>
      </c>
      <c r="C371" t="s">
        <v>60</v>
      </c>
      <c r="D371" t="s">
        <v>54</v>
      </c>
      <c r="E371" t="s">
        <v>97</v>
      </c>
      <c r="F371" t="s">
        <v>19</v>
      </c>
      <c r="G371">
        <v>65000</v>
      </c>
      <c r="H371" s="1">
        <v>43990</v>
      </c>
      <c r="I371">
        <v>2020</v>
      </c>
      <c r="J371" t="s">
        <v>141</v>
      </c>
      <c r="K371">
        <v>6</v>
      </c>
      <c r="L371" t="s">
        <v>21</v>
      </c>
      <c r="M371" t="s">
        <v>22</v>
      </c>
      <c r="N371" t="s">
        <v>31</v>
      </c>
    </row>
    <row r="372" spans="1:14" x14ac:dyDescent="0.3">
      <c r="A372" t="s">
        <v>355</v>
      </c>
      <c r="B372" t="s">
        <v>186</v>
      </c>
      <c r="C372" t="s">
        <v>341</v>
      </c>
      <c r="D372" t="s">
        <v>70</v>
      </c>
      <c r="E372" t="s">
        <v>140</v>
      </c>
      <c r="F372" t="s">
        <v>117</v>
      </c>
      <c r="G372">
        <v>25000</v>
      </c>
      <c r="H372" s="1">
        <v>44260</v>
      </c>
      <c r="I372">
        <v>2021</v>
      </c>
      <c r="J372" t="s">
        <v>37</v>
      </c>
      <c r="K372">
        <v>3</v>
      </c>
      <c r="L372" t="s">
        <v>21</v>
      </c>
      <c r="M372" t="s">
        <v>22</v>
      </c>
      <c r="N372" t="s">
        <v>31</v>
      </c>
    </row>
    <row r="373" spans="1:14" x14ac:dyDescent="0.3">
      <c r="A373" t="s">
        <v>185</v>
      </c>
      <c r="B373" t="s">
        <v>186</v>
      </c>
      <c r="C373" t="s">
        <v>187</v>
      </c>
      <c r="D373" t="s">
        <v>27</v>
      </c>
      <c r="E373" t="s">
        <v>245</v>
      </c>
      <c r="F373" t="s">
        <v>56</v>
      </c>
      <c r="G373">
        <v>104000</v>
      </c>
      <c r="H373" s="1">
        <v>45331</v>
      </c>
      <c r="I373">
        <v>2024</v>
      </c>
      <c r="J373" t="s">
        <v>108</v>
      </c>
      <c r="K373">
        <v>2</v>
      </c>
      <c r="L373" t="s">
        <v>38</v>
      </c>
      <c r="M373" t="s">
        <v>22</v>
      </c>
      <c r="N373" t="s">
        <v>31</v>
      </c>
    </row>
    <row r="374" spans="1:14" x14ac:dyDescent="0.3">
      <c r="A374" t="s">
        <v>161</v>
      </c>
      <c r="B374" t="s">
        <v>86</v>
      </c>
      <c r="C374" t="s">
        <v>339</v>
      </c>
      <c r="D374" t="s">
        <v>17</v>
      </c>
      <c r="E374" t="s">
        <v>154</v>
      </c>
      <c r="F374" t="s">
        <v>132</v>
      </c>
      <c r="G374">
        <v>25829000</v>
      </c>
      <c r="H374" s="1">
        <v>45446</v>
      </c>
      <c r="I374">
        <v>2024</v>
      </c>
      <c r="J374" t="s">
        <v>141</v>
      </c>
      <c r="K374">
        <v>6</v>
      </c>
      <c r="L374" t="s">
        <v>65</v>
      </c>
      <c r="M374" t="s">
        <v>39</v>
      </c>
      <c r="N374" t="s">
        <v>47</v>
      </c>
    </row>
    <row r="375" spans="1:14" x14ac:dyDescent="0.3">
      <c r="A375" t="s">
        <v>318</v>
      </c>
      <c r="B375" t="s">
        <v>42</v>
      </c>
      <c r="C375" t="s">
        <v>182</v>
      </c>
      <c r="D375" t="s">
        <v>27</v>
      </c>
      <c r="E375" t="s">
        <v>234</v>
      </c>
      <c r="F375" t="s">
        <v>19</v>
      </c>
      <c r="G375">
        <v>621000</v>
      </c>
      <c r="H375" s="1">
        <v>44483</v>
      </c>
      <c r="I375">
        <v>2021</v>
      </c>
      <c r="J375" t="s">
        <v>89</v>
      </c>
      <c r="K375">
        <v>10</v>
      </c>
      <c r="L375" t="s">
        <v>21</v>
      </c>
      <c r="M375" t="s">
        <v>22</v>
      </c>
      <c r="N375" t="s">
        <v>47</v>
      </c>
    </row>
    <row r="376" spans="1:14" x14ac:dyDescent="0.3">
      <c r="A376" t="s">
        <v>24</v>
      </c>
      <c r="B376" t="s">
        <v>86</v>
      </c>
      <c r="C376" t="s">
        <v>87</v>
      </c>
      <c r="D376" t="s">
        <v>136</v>
      </c>
      <c r="E376" t="s">
        <v>454</v>
      </c>
      <c r="F376" t="s">
        <v>19</v>
      </c>
      <c r="G376">
        <v>65000</v>
      </c>
      <c r="H376" s="1">
        <v>43984</v>
      </c>
      <c r="I376">
        <v>2020</v>
      </c>
      <c r="J376" t="s">
        <v>141</v>
      </c>
      <c r="K376">
        <v>6</v>
      </c>
      <c r="L376" t="s">
        <v>21</v>
      </c>
      <c r="M376" t="s">
        <v>22</v>
      </c>
      <c r="N376" t="s">
        <v>47</v>
      </c>
    </row>
    <row r="377" spans="1:14" x14ac:dyDescent="0.3">
      <c r="A377" t="s">
        <v>184</v>
      </c>
      <c r="B377" t="s">
        <v>126</v>
      </c>
      <c r="C377" t="s">
        <v>265</v>
      </c>
      <c r="D377" t="s">
        <v>27</v>
      </c>
      <c r="E377" t="s">
        <v>258</v>
      </c>
      <c r="F377" t="s">
        <v>103</v>
      </c>
      <c r="G377">
        <v>2372000</v>
      </c>
      <c r="H377" s="1">
        <v>45169</v>
      </c>
      <c r="I377">
        <v>2023</v>
      </c>
      <c r="J377" t="s">
        <v>153</v>
      </c>
      <c r="K377">
        <v>8</v>
      </c>
      <c r="L377" t="s">
        <v>38</v>
      </c>
      <c r="M377" t="s">
        <v>30</v>
      </c>
      <c r="N377" t="s">
        <v>40</v>
      </c>
    </row>
    <row r="378" spans="1:14" x14ac:dyDescent="0.3">
      <c r="A378" t="s">
        <v>455</v>
      </c>
      <c r="B378" t="s">
        <v>186</v>
      </c>
      <c r="C378" t="s">
        <v>341</v>
      </c>
      <c r="D378" t="s">
        <v>44</v>
      </c>
      <c r="E378" t="s">
        <v>456</v>
      </c>
      <c r="F378" t="s">
        <v>188</v>
      </c>
      <c r="G378">
        <v>1129000</v>
      </c>
      <c r="H378" s="1">
        <v>44669</v>
      </c>
      <c r="I378">
        <v>2022</v>
      </c>
      <c r="J378" t="s">
        <v>20</v>
      </c>
      <c r="K378">
        <v>4</v>
      </c>
      <c r="L378" t="s">
        <v>38</v>
      </c>
      <c r="M378" t="s">
        <v>30</v>
      </c>
      <c r="N378" t="s">
        <v>31</v>
      </c>
    </row>
    <row r="379" spans="1:14" x14ac:dyDescent="0.3">
      <c r="A379" t="s">
        <v>210</v>
      </c>
      <c r="B379" t="s">
        <v>186</v>
      </c>
      <c r="C379" t="s">
        <v>187</v>
      </c>
      <c r="D379" t="s">
        <v>136</v>
      </c>
      <c r="E379" t="s">
        <v>385</v>
      </c>
      <c r="F379" t="s">
        <v>103</v>
      </c>
      <c r="G379">
        <v>1065000</v>
      </c>
      <c r="H379" s="1">
        <v>45551</v>
      </c>
      <c r="I379">
        <v>2024</v>
      </c>
      <c r="J379" t="s">
        <v>46</v>
      </c>
      <c r="K379">
        <v>9</v>
      </c>
      <c r="L379" t="s">
        <v>38</v>
      </c>
      <c r="M379" t="s">
        <v>30</v>
      </c>
      <c r="N379" t="s">
        <v>31</v>
      </c>
    </row>
    <row r="380" spans="1:14" x14ac:dyDescent="0.3">
      <c r="A380" t="s">
        <v>181</v>
      </c>
      <c r="B380" t="s">
        <v>114</v>
      </c>
      <c r="C380" t="s">
        <v>243</v>
      </c>
      <c r="D380" t="s">
        <v>75</v>
      </c>
      <c r="E380" t="s">
        <v>18</v>
      </c>
      <c r="F380" t="s">
        <v>103</v>
      </c>
      <c r="G380">
        <v>9076000</v>
      </c>
      <c r="H380" s="1">
        <v>44029</v>
      </c>
      <c r="I380">
        <v>2020</v>
      </c>
      <c r="J380" t="s">
        <v>57</v>
      </c>
      <c r="K380">
        <v>7</v>
      </c>
      <c r="L380" t="s">
        <v>38</v>
      </c>
      <c r="M380" t="s">
        <v>30</v>
      </c>
      <c r="N380" t="s">
        <v>47</v>
      </c>
    </row>
    <row r="381" spans="1:14" x14ac:dyDescent="0.3">
      <c r="A381" t="s">
        <v>323</v>
      </c>
      <c r="B381" t="s">
        <v>186</v>
      </c>
      <c r="C381" t="s">
        <v>60</v>
      </c>
      <c r="D381" t="s">
        <v>17</v>
      </c>
      <c r="E381" t="s">
        <v>291</v>
      </c>
      <c r="F381" t="s">
        <v>19</v>
      </c>
      <c r="G381">
        <v>141000</v>
      </c>
      <c r="H381" s="1">
        <v>44645</v>
      </c>
      <c r="I381">
        <v>2022</v>
      </c>
      <c r="J381" t="s">
        <v>37</v>
      </c>
      <c r="K381">
        <v>3</v>
      </c>
      <c r="L381" t="s">
        <v>21</v>
      </c>
      <c r="M381" t="s">
        <v>22</v>
      </c>
      <c r="N381" t="s">
        <v>31</v>
      </c>
    </row>
    <row r="382" spans="1:14" x14ac:dyDescent="0.3">
      <c r="A382" t="s">
        <v>155</v>
      </c>
      <c r="B382" t="s">
        <v>49</v>
      </c>
      <c r="C382" t="s">
        <v>50</v>
      </c>
      <c r="D382" t="s">
        <v>136</v>
      </c>
      <c r="E382" t="s">
        <v>457</v>
      </c>
      <c r="F382" t="s">
        <v>19</v>
      </c>
      <c r="G382">
        <v>77000</v>
      </c>
      <c r="H382" s="1">
        <v>45644</v>
      </c>
      <c r="I382">
        <v>2024</v>
      </c>
      <c r="J382" t="s">
        <v>99</v>
      </c>
      <c r="K382">
        <v>12</v>
      </c>
      <c r="L382" t="s">
        <v>21</v>
      </c>
      <c r="M382" t="s">
        <v>22</v>
      </c>
      <c r="N382" t="s">
        <v>40</v>
      </c>
    </row>
    <row r="383" spans="1:14" x14ac:dyDescent="0.3">
      <c r="A383" t="s">
        <v>118</v>
      </c>
      <c r="B383" t="s">
        <v>42</v>
      </c>
      <c r="C383" t="s">
        <v>43</v>
      </c>
      <c r="D383" t="s">
        <v>34</v>
      </c>
      <c r="E383" t="s">
        <v>458</v>
      </c>
      <c r="F383" t="s">
        <v>19</v>
      </c>
      <c r="G383">
        <v>653000</v>
      </c>
      <c r="H383" s="1">
        <v>44381</v>
      </c>
      <c r="I383">
        <v>2021</v>
      </c>
      <c r="J383" t="s">
        <v>57</v>
      </c>
      <c r="K383">
        <v>7</v>
      </c>
      <c r="L383" t="s">
        <v>21</v>
      </c>
      <c r="M383" t="s">
        <v>22</v>
      </c>
      <c r="N383" t="s">
        <v>47</v>
      </c>
    </row>
    <row r="384" spans="1:14" x14ac:dyDescent="0.3">
      <c r="A384" t="s">
        <v>257</v>
      </c>
      <c r="B384" t="s">
        <v>186</v>
      </c>
      <c r="C384" t="s">
        <v>341</v>
      </c>
      <c r="D384" t="s">
        <v>111</v>
      </c>
      <c r="E384" t="s">
        <v>459</v>
      </c>
      <c r="F384" t="s">
        <v>56</v>
      </c>
      <c r="G384">
        <v>426000</v>
      </c>
      <c r="H384" s="1">
        <v>45380</v>
      </c>
      <c r="I384">
        <v>2024</v>
      </c>
      <c r="J384" t="s">
        <v>37</v>
      </c>
      <c r="K384">
        <v>3</v>
      </c>
      <c r="L384" t="s">
        <v>38</v>
      </c>
      <c r="M384" t="s">
        <v>22</v>
      </c>
      <c r="N384" t="s">
        <v>31</v>
      </c>
    </row>
    <row r="385" spans="1:14" x14ac:dyDescent="0.3">
      <c r="A385" t="s">
        <v>395</v>
      </c>
      <c r="B385" t="s">
        <v>68</v>
      </c>
      <c r="C385" t="s">
        <v>149</v>
      </c>
      <c r="D385" t="s">
        <v>70</v>
      </c>
      <c r="E385" t="s">
        <v>460</v>
      </c>
      <c r="F385" t="s">
        <v>103</v>
      </c>
      <c r="G385">
        <v>10764000</v>
      </c>
      <c r="H385" s="1">
        <v>44313</v>
      </c>
      <c r="I385">
        <v>2021</v>
      </c>
      <c r="J385" t="s">
        <v>20</v>
      </c>
      <c r="K385">
        <v>4</v>
      </c>
      <c r="L385" t="s">
        <v>38</v>
      </c>
      <c r="M385" t="s">
        <v>39</v>
      </c>
      <c r="N385" t="s">
        <v>31</v>
      </c>
    </row>
    <row r="386" spans="1:14" x14ac:dyDescent="0.3">
      <c r="A386" t="s">
        <v>393</v>
      </c>
      <c r="B386" t="s">
        <v>32</v>
      </c>
      <c r="C386" t="s">
        <v>101</v>
      </c>
      <c r="D386" t="s">
        <v>75</v>
      </c>
      <c r="E386" t="s">
        <v>461</v>
      </c>
      <c r="F386" t="s">
        <v>19</v>
      </c>
      <c r="G386">
        <v>753000</v>
      </c>
      <c r="H386" s="1">
        <v>45775</v>
      </c>
      <c r="I386">
        <v>2025</v>
      </c>
      <c r="J386" t="s">
        <v>20</v>
      </c>
      <c r="K386">
        <v>4</v>
      </c>
      <c r="L386" t="s">
        <v>21</v>
      </c>
      <c r="M386" t="s">
        <v>22</v>
      </c>
      <c r="N386" t="s">
        <v>40</v>
      </c>
    </row>
    <row r="387" spans="1:14" x14ac:dyDescent="0.3">
      <c r="A387" t="s">
        <v>427</v>
      </c>
      <c r="B387" t="s">
        <v>59</v>
      </c>
      <c r="C387" t="s">
        <v>123</v>
      </c>
      <c r="D387" t="s">
        <v>54</v>
      </c>
      <c r="E387" t="s">
        <v>462</v>
      </c>
      <c r="F387" t="s">
        <v>117</v>
      </c>
      <c r="G387">
        <v>127000</v>
      </c>
      <c r="H387" s="1">
        <v>43991</v>
      </c>
      <c r="I387">
        <v>2020</v>
      </c>
      <c r="J387" t="s">
        <v>141</v>
      </c>
      <c r="K387">
        <v>6</v>
      </c>
      <c r="L387" t="s">
        <v>21</v>
      </c>
      <c r="M387" t="s">
        <v>22</v>
      </c>
      <c r="N387" t="s">
        <v>31</v>
      </c>
    </row>
    <row r="388" spans="1:14" x14ac:dyDescent="0.3">
      <c r="A388" t="s">
        <v>139</v>
      </c>
      <c r="B388" t="s">
        <v>86</v>
      </c>
      <c r="C388" t="s">
        <v>283</v>
      </c>
      <c r="D388" t="s">
        <v>17</v>
      </c>
      <c r="E388" t="s">
        <v>447</v>
      </c>
      <c r="F388" t="s">
        <v>56</v>
      </c>
      <c r="G388">
        <v>191000</v>
      </c>
      <c r="H388" s="1">
        <v>44644</v>
      </c>
      <c r="I388">
        <v>2022</v>
      </c>
      <c r="J388" t="s">
        <v>37</v>
      </c>
      <c r="K388">
        <v>3</v>
      </c>
      <c r="L388" t="s">
        <v>38</v>
      </c>
      <c r="M388" t="s">
        <v>22</v>
      </c>
      <c r="N388" t="s">
        <v>47</v>
      </c>
    </row>
    <row r="389" spans="1:14" x14ac:dyDescent="0.3">
      <c r="A389" t="s">
        <v>372</v>
      </c>
      <c r="B389" t="s">
        <v>81</v>
      </c>
      <c r="C389" t="s">
        <v>82</v>
      </c>
      <c r="D389" t="s">
        <v>75</v>
      </c>
      <c r="E389" t="s">
        <v>270</v>
      </c>
      <c r="F389" t="s">
        <v>103</v>
      </c>
      <c r="G389">
        <v>1617000</v>
      </c>
      <c r="H389" s="1">
        <v>44690</v>
      </c>
      <c r="I389">
        <v>2022</v>
      </c>
      <c r="J389" t="s">
        <v>77</v>
      </c>
      <c r="K389">
        <v>5</v>
      </c>
      <c r="L389" t="s">
        <v>38</v>
      </c>
      <c r="M389" t="s">
        <v>30</v>
      </c>
      <c r="N389" t="s">
        <v>84</v>
      </c>
    </row>
    <row r="390" spans="1:14" x14ac:dyDescent="0.3">
      <c r="A390" t="s">
        <v>251</v>
      </c>
      <c r="B390" t="s">
        <v>126</v>
      </c>
      <c r="C390" t="s">
        <v>159</v>
      </c>
      <c r="D390" t="s">
        <v>17</v>
      </c>
      <c r="E390" t="s">
        <v>28</v>
      </c>
      <c r="F390" t="s">
        <v>103</v>
      </c>
      <c r="G390">
        <v>7635000</v>
      </c>
      <c r="H390" s="1">
        <v>44037</v>
      </c>
      <c r="I390">
        <v>2020</v>
      </c>
      <c r="J390" t="s">
        <v>57</v>
      </c>
      <c r="K390">
        <v>7</v>
      </c>
      <c r="L390" t="s">
        <v>38</v>
      </c>
      <c r="M390" t="s">
        <v>30</v>
      </c>
      <c r="N390" t="s">
        <v>40</v>
      </c>
    </row>
    <row r="391" spans="1:14" x14ac:dyDescent="0.3">
      <c r="A391" t="s">
        <v>379</v>
      </c>
      <c r="B391" t="s">
        <v>94</v>
      </c>
      <c r="C391" t="s">
        <v>159</v>
      </c>
      <c r="D391" t="s">
        <v>70</v>
      </c>
      <c r="E391" t="s">
        <v>63</v>
      </c>
      <c r="F391" t="s">
        <v>103</v>
      </c>
      <c r="G391">
        <v>8890000</v>
      </c>
      <c r="H391" s="1">
        <v>44799</v>
      </c>
      <c r="I391">
        <v>2022</v>
      </c>
      <c r="J391" t="s">
        <v>153</v>
      </c>
      <c r="K391">
        <v>8</v>
      </c>
      <c r="L391" t="s">
        <v>38</v>
      </c>
      <c r="M391" t="s">
        <v>30</v>
      </c>
      <c r="N391" t="s">
        <v>40</v>
      </c>
    </row>
    <row r="392" spans="1:14" x14ac:dyDescent="0.3">
      <c r="A392" t="s">
        <v>232</v>
      </c>
      <c r="B392" t="s">
        <v>126</v>
      </c>
      <c r="C392" t="s">
        <v>127</v>
      </c>
      <c r="D392" t="s">
        <v>136</v>
      </c>
      <c r="E392" t="s">
        <v>315</v>
      </c>
      <c r="F392" t="s">
        <v>117</v>
      </c>
      <c r="G392">
        <v>196000</v>
      </c>
      <c r="H392" s="1">
        <v>45652</v>
      </c>
      <c r="I392">
        <v>2024</v>
      </c>
      <c r="J392" t="s">
        <v>99</v>
      </c>
      <c r="K392">
        <v>12</v>
      </c>
      <c r="L392" t="s">
        <v>21</v>
      </c>
      <c r="M392" t="s">
        <v>22</v>
      </c>
      <c r="N392" t="s">
        <v>40</v>
      </c>
    </row>
    <row r="393" spans="1:14" x14ac:dyDescent="0.3">
      <c r="A393" t="s">
        <v>382</v>
      </c>
      <c r="B393" t="s">
        <v>25</v>
      </c>
      <c r="C393" t="s">
        <v>168</v>
      </c>
      <c r="D393" t="s">
        <v>34</v>
      </c>
      <c r="E393" t="s">
        <v>242</v>
      </c>
      <c r="F393" t="s">
        <v>128</v>
      </c>
      <c r="G393">
        <v>17000</v>
      </c>
      <c r="H393" s="1">
        <v>43872</v>
      </c>
      <c r="I393">
        <v>2020</v>
      </c>
      <c r="J393" t="s">
        <v>108</v>
      </c>
      <c r="K393">
        <v>2</v>
      </c>
      <c r="L393" t="s">
        <v>21</v>
      </c>
      <c r="M393" t="s">
        <v>22</v>
      </c>
      <c r="N393" t="s">
        <v>31</v>
      </c>
    </row>
    <row r="394" spans="1:14" x14ac:dyDescent="0.3">
      <c r="A394" t="s">
        <v>269</v>
      </c>
      <c r="B394" t="s">
        <v>94</v>
      </c>
      <c r="C394" t="s">
        <v>159</v>
      </c>
      <c r="D394" t="s">
        <v>70</v>
      </c>
      <c r="E394" t="s">
        <v>61</v>
      </c>
      <c r="F394" t="s">
        <v>175</v>
      </c>
      <c r="G394">
        <v>117757000</v>
      </c>
      <c r="H394" s="1">
        <v>45233</v>
      </c>
      <c r="I394">
        <v>2023</v>
      </c>
      <c r="J394" t="s">
        <v>72</v>
      </c>
      <c r="K394">
        <v>11</v>
      </c>
      <c r="L394" t="s">
        <v>65</v>
      </c>
      <c r="M394" t="s">
        <v>66</v>
      </c>
      <c r="N394" t="s">
        <v>40</v>
      </c>
    </row>
    <row r="395" spans="1:14" x14ac:dyDescent="0.3">
      <c r="A395" t="s">
        <v>134</v>
      </c>
      <c r="B395" t="s">
        <v>25</v>
      </c>
      <c r="C395" t="s">
        <v>168</v>
      </c>
      <c r="D395" t="s">
        <v>96</v>
      </c>
      <c r="E395" t="s">
        <v>463</v>
      </c>
      <c r="F395" t="s">
        <v>19</v>
      </c>
      <c r="G395">
        <v>877000</v>
      </c>
      <c r="H395" s="1">
        <v>44684</v>
      </c>
      <c r="I395">
        <v>2022</v>
      </c>
      <c r="J395" t="s">
        <v>77</v>
      </c>
      <c r="K395">
        <v>5</v>
      </c>
      <c r="L395" t="s">
        <v>21</v>
      </c>
      <c r="M395" t="s">
        <v>22</v>
      </c>
      <c r="N395" t="s">
        <v>31</v>
      </c>
    </row>
    <row r="396" spans="1:14" x14ac:dyDescent="0.3">
      <c r="A396" t="s">
        <v>427</v>
      </c>
      <c r="B396" t="s">
        <v>114</v>
      </c>
      <c r="C396" t="s">
        <v>115</v>
      </c>
      <c r="D396" t="s">
        <v>70</v>
      </c>
      <c r="E396" t="s">
        <v>242</v>
      </c>
      <c r="F396" t="s">
        <v>132</v>
      </c>
      <c r="G396">
        <v>50332000</v>
      </c>
      <c r="H396" s="1">
        <v>45607</v>
      </c>
      <c r="I396">
        <v>2024</v>
      </c>
      <c r="J396" t="s">
        <v>72</v>
      </c>
      <c r="K396">
        <v>11</v>
      </c>
      <c r="L396" t="s">
        <v>65</v>
      </c>
      <c r="M396" t="s">
        <v>39</v>
      </c>
      <c r="N396" t="s">
        <v>47</v>
      </c>
    </row>
    <row r="397" spans="1:14" x14ac:dyDescent="0.3">
      <c r="A397" t="s">
        <v>464</v>
      </c>
      <c r="B397" t="s">
        <v>25</v>
      </c>
      <c r="C397" t="s">
        <v>26</v>
      </c>
      <c r="D397" t="s">
        <v>136</v>
      </c>
      <c r="E397" t="s">
        <v>266</v>
      </c>
      <c r="F397" t="s">
        <v>19</v>
      </c>
      <c r="G397">
        <v>1549000</v>
      </c>
      <c r="H397" s="1">
        <v>45574</v>
      </c>
      <c r="I397">
        <v>2024</v>
      </c>
      <c r="J397" t="s">
        <v>89</v>
      </c>
      <c r="K397">
        <v>10</v>
      </c>
      <c r="L397" t="s">
        <v>21</v>
      </c>
      <c r="M397" t="s">
        <v>30</v>
      </c>
      <c r="N397" t="s">
        <v>31</v>
      </c>
    </row>
    <row r="398" spans="1:14" x14ac:dyDescent="0.3">
      <c r="A398" t="s">
        <v>148</v>
      </c>
      <c r="B398" t="s">
        <v>15</v>
      </c>
      <c r="C398" t="s">
        <v>74</v>
      </c>
      <c r="D398" t="s">
        <v>44</v>
      </c>
      <c r="E398" t="s">
        <v>140</v>
      </c>
      <c r="F398" t="s">
        <v>117</v>
      </c>
      <c r="G398">
        <v>144000</v>
      </c>
      <c r="H398" s="1">
        <v>43934</v>
      </c>
      <c r="I398">
        <v>2020</v>
      </c>
      <c r="J398" t="s">
        <v>20</v>
      </c>
      <c r="K398">
        <v>4</v>
      </c>
      <c r="L398" t="s">
        <v>21</v>
      </c>
      <c r="M398" t="s">
        <v>22</v>
      </c>
      <c r="N398" t="s">
        <v>23</v>
      </c>
    </row>
    <row r="399" spans="1:14" x14ac:dyDescent="0.3">
      <c r="A399" t="s">
        <v>201</v>
      </c>
      <c r="B399" t="s">
        <v>42</v>
      </c>
      <c r="C399" t="s">
        <v>205</v>
      </c>
      <c r="D399" t="s">
        <v>136</v>
      </c>
      <c r="E399" t="s">
        <v>465</v>
      </c>
      <c r="F399" t="s">
        <v>36</v>
      </c>
      <c r="G399">
        <v>16426000</v>
      </c>
      <c r="H399" s="1">
        <v>44084</v>
      </c>
      <c r="I399">
        <v>2020</v>
      </c>
      <c r="J399" t="s">
        <v>46</v>
      </c>
      <c r="K399">
        <v>9</v>
      </c>
      <c r="L399" t="s">
        <v>38</v>
      </c>
      <c r="M399" t="s">
        <v>39</v>
      </c>
      <c r="N399" t="s">
        <v>47</v>
      </c>
    </row>
    <row r="400" spans="1:14" x14ac:dyDescent="0.3">
      <c r="A400" t="s">
        <v>129</v>
      </c>
      <c r="B400" t="s">
        <v>42</v>
      </c>
      <c r="C400" t="s">
        <v>205</v>
      </c>
      <c r="D400" t="s">
        <v>111</v>
      </c>
      <c r="E400" t="s">
        <v>293</v>
      </c>
      <c r="F400" t="s">
        <v>19</v>
      </c>
      <c r="G400">
        <v>798000</v>
      </c>
      <c r="H400" s="1">
        <v>44165</v>
      </c>
      <c r="I400">
        <v>2020</v>
      </c>
      <c r="J400" t="s">
        <v>72</v>
      </c>
      <c r="K400">
        <v>11</v>
      </c>
      <c r="L400" t="s">
        <v>21</v>
      </c>
      <c r="M400" t="s">
        <v>22</v>
      </c>
      <c r="N400" t="s">
        <v>47</v>
      </c>
    </row>
    <row r="401" spans="1:14" x14ac:dyDescent="0.3">
      <c r="A401" t="s">
        <v>155</v>
      </c>
      <c r="B401" t="s">
        <v>94</v>
      </c>
      <c r="C401" t="s">
        <v>95</v>
      </c>
      <c r="D401" t="s">
        <v>136</v>
      </c>
      <c r="E401" t="s">
        <v>298</v>
      </c>
      <c r="F401" t="s">
        <v>117</v>
      </c>
      <c r="G401">
        <v>114000</v>
      </c>
      <c r="H401" s="1">
        <v>45579</v>
      </c>
      <c r="I401">
        <v>2024</v>
      </c>
      <c r="J401" t="s">
        <v>89</v>
      </c>
      <c r="K401">
        <v>10</v>
      </c>
      <c r="L401" t="s">
        <v>21</v>
      </c>
      <c r="M401" t="s">
        <v>22</v>
      </c>
      <c r="N401" t="s">
        <v>40</v>
      </c>
    </row>
    <row r="402" spans="1:14" x14ac:dyDescent="0.3">
      <c r="A402" t="s">
        <v>297</v>
      </c>
      <c r="B402" t="s">
        <v>49</v>
      </c>
      <c r="C402" t="s">
        <v>135</v>
      </c>
      <c r="D402" t="s">
        <v>34</v>
      </c>
      <c r="E402" t="s">
        <v>28</v>
      </c>
      <c r="F402" t="s">
        <v>36</v>
      </c>
      <c r="G402">
        <v>6655000</v>
      </c>
      <c r="H402" s="1">
        <v>44882</v>
      </c>
      <c r="I402">
        <v>2022</v>
      </c>
      <c r="J402" t="s">
        <v>72</v>
      </c>
      <c r="K402">
        <v>11</v>
      </c>
      <c r="L402" t="s">
        <v>38</v>
      </c>
      <c r="M402" t="s">
        <v>30</v>
      </c>
      <c r="N402" t="s">
        <v>40</v>
      </c>
    </row>
    <row r="403" spans="1:14" x14ac:dyDescent="0.3">
      <c r="A403" t="s">
        <v>466</v>
      </c>
      <c r="B403" t="s">
        <v>105</v>
      </c>
      <c r="C403" t="s">
        <v>345</v>
      </c>
      <c r="D403" t="s">
        <v>75</v>
      </c>
      <c r="E403" t="s">
        <v>258</v>
      </c>
      <c r="F403" t="s">
        <v>132</v>
      </c>
      <c r="G403">
        <v>230417000</v>
      </c>
      <c r="H403" s="1">
        <v>44289</v>
      </c>
      <c r="I403">
        <v>2021</v>
      </c>
      <c r="J403" t="s">
        <v>20</v>
      </c>
      <c r="K403">
        <v>4</v>
      </c>
      <c r="L403" t="s">
        <v>65</v>
      </c>
      <c r="M403" t="s">
        <v>66</v>
      </c>
      <c r="N403" t="s">
        <v>23</v>
      </c>
    </row>
    <row r="404" spans="1:14" x14ac:dyDescent="0.3">
      <c r="A404" t="s">
        <v>467</v>
      </c>
      <c r="B404" t="s">
        <v>25</v>
      </c>
      <c r="C404" t="s">
        <v>26</v>
      </c>
      <c r="D404" t="s">
        <v>34</v>
      </c>
      <c r="E404" t="s">
        <v>183</v>
      </c>
      <c r="F404" t="s">
        <v>56</v>
      </c>
      <c r="G404">
        <v>320000</v>
      </c>
      <c r="H404" s="1">
        <v>44602</v>
      </c>
      <c r="I404">
        <v>2022</v>
      </c>
      <c r="J404" t="s">
        <v>108</v>
      </c>
      <c r="K404">
        <v>2</v>
      </c>
      <c r="L404" t="s">
        <v>38</v>
      </c>
      <c r="M404" t="s">
        <v>22</v>
      </c>
      <c r="N404" t="s">
        <v>31</v>
      </c>
    </row>
    <row r="405" spans="1:14" x14ac:dyDescent="0.3">
      <c r="A405" t="s">
        <v>281</v>
      </c>
      <c r="B405" t="s">
        <v>49</v>
      </c>
      <c r="C405" t="s">
        <v>50</v>
      </c>
      <c r="D405" t="s">
        <v>75</v>
      </c>
      <c r="E405" t="s">
        <v>91</v>
      </c>
      <c r="F405" t="s">
        <v>56</v>
      </c>
      <c r="G405">
        <v>671000</v>
      </c>
      <c r="H405" s="1">
        <v>44040</v>
      </c>
      <c r="I405">
        <v>2020</v>
      </c>
      <c r="J405" t="s">
        <v>57</v>
      </c>
      <c r="K405">
        <v>7</v>
      </c>
      <c r="L405" t="s">
        <v>38</v>
      </c>
      <c r="M405" t="s">
        <v>22</v>
      </c>
      <c r="N405" t="s">
        <v>40</v>
      </c>
    </row>
    <row r="406" spans="1:14" x14ac:dyDescent="0.3">
      <c r="A406" t="s">
        <v>468</v>
      </c>
      <c r="B406" t="s">
        <v>126</v>
      </c>
      <c r="C406" t="s">
        <v>127</v>
      </c>
      <c r="D406" t="s">
        <v>34</v>
      </c>
      <c r="E406" t="s">
        <v>469</v>
      </c>
      <c r="F406" t="s">
        <v>19</v>
      </c>
      <c r="G406">
        <v>163000</v>
      </c>
      <c r="H406" s="1">
        <v>44052</v>
      </c>
      <c r="I406">
        <v>2020</v>
      </c>
      <c r="J406" t="s">
        <v>153</v>
      </c>
      <c r="K406">
        <v>8</v>
      </c>
      <c r="L406" t="s">
        <v>21</v>
      </c>
      <c r="M406" t="s">
        <v>22</v>
      </c>
      <c r="N406" t="s">
        <v>40</v>
      </c>
    </row>
    <row r="407" spans="1:14" x14ac:dyDescent="0.3">
      <c r="A407" t="s">
        <v>267</v>
      </c>
      <c r="B407" t="s">
        <v>94</v>
      </c>
      <c r="C407" t="s">
        <v>146</v>
      </c>
      <c r="D407" t="s">
        <v>34</v>
      </c>
      <c r="E407" t="s">
        <v>369</v>
      </c>
      <c r="F407" t="s">
        <v>19</v>
      </c>
      <c r="G407">
        <v>1360000</v>
      </c>
      <c r="H407" s="1">
        <v>44890</v>
      </c>
      <c r="I407">
        <v>2022</v>
      </c>
      <c r="J407" t="s">
        <v>72</v>
      </c>
      <c r="K407">
        <v>11</v>
      </c>
      <c r="L407" t="s">
        <v>21</v>
      </c>
      <c r="M407" t="s">
        <v>30</v>
      </c>
      <c r="N407" t="s">
        <v>40</v>
      </c>
    </row>
    <row r="408" spans="1:14" x14ac:dyDescent="0.3">
      <c r="A408" t="s">
        <v>232</v>
      </c>
      <c r="B408" t="s">
        <v>49</v>
      </c>
      <c r="C408" t="s">
        <v>135</v>
      </c>
      <c r="D408" t="s">
        <v>27</v>
      </c>
      <c r="E408" t="s">
        <v>369</v>
      </c>
      <c r="F408" t="s">
        <v>36</v>
      </c>
      <c r="G408">
        <v>14710000</v>
      </c>
      <c r="H408" s="1">
        <v>44436</v>
      </c>
      <c r="I408">
        <v>2021</v>
      </c>
      <c r="J408" t="s">
        <v>153</v>
      </c>
      <c r="K408">
        <v>8</v>
      </c>
      <c r="L408" t="s">
        <v>38</v>
      </c>
      <c r="M408" t="s">
        <v>39</v>
      </c>
      <c r="N408" t="s">
        <v>40</v>
      </c>
    </row>
    <row r="409" spans="1:14" x14ac:dyDescent="0.3">
      <c r="A409" t="s">
        <v>232</v>
      </c>
      <c r="B409" t="s">
        <v>81</v>
      </c>
      <c r="C409" t="s">
        <v>82</v>
      </c>
      <c r="D409" t="s">
        <v>75</v>
      </c>
      <c r="E409" t="s">
        <v>470</v>
      </c>
      <c r="F409" t="s">
        <v>132</v>
      </c>
      <c r="G409">
        <v>20596000</v>
      </c>
      <c r="H409" s="1">
        <v>44533</v>
      </c>
      <c r="I409">
        <v>2021</v>
      </c>
      <c r="J409" t="s">
        <v>99</v>
      </c>
      <c r="K409">
        <v>12</v>
      </c>
      <c r="L409" t="s">
        <v>65</v>
      </c>
      <c r="M409" t="s">
        <v>39</v>
      </c>
      <c r="N409" t="s">
        <v>84</v>
      </c>
    </row>
    <row r="410" spans="1:14" x14ac:dyDescent="0.3">
      <c r="A410" t="s">
        <v>41</v>
      </c>
      <c r="B410" t="s">
        <v>49</v>
      </c>
      <c r="C410" t="s">
        <v>225</v>
      </c>
      <c r="D410" t="s">
        <v>111</v>
      </c>
      <c r="E410" t="s">
        <v>471</v>
      </c>
      <c r="F410" t="s">
        <v>19</v>
      </c>
      <c r="G410">
        <v>1411000</v>
      </c>
      <c r="H410" s="1">
        <v>44179</v>
      </c>
      <c r="I410">
        <v>2020</v>
      </c>
      <c r="J410" t="s">
        <v>99</v>
      </c>
      <c r="K410">
        <v>12</v>
      </c>
      <c r="L410" t="s">
        <v>21</v>
      </c>
      <c r="M410" t="s">
        <v>30</v>
      </c>
      <c r="N410" t="s">
        <v>40</v>
      </c>
    </row>
    <row r="411" spans="1:14" x14ac:dyDescent="0.3">
      <c r="A411" t="s">
        <v>180</v>
      </c>
      <c r="B411" t="s">
        <v>25</v>
      </c>
      <c r="C411" t="s">
        <v>26</v>
      </c>
      <c r="D411" t="s">
        <v>54</v>
      </c>
      <c r="E411" t="s">
        <v>315</v>
      </c>
      <c r="F411" t="s">
        <v>188</v>
      </c>
      <c r="G411">
        <v>70000</v>
      </c>
      <c r="H411" s="1">
        <v>45673</v>
      </c>
      <c r="I411">
        <v>2025</v>
      </c>
      <c r="J411" t="s">
        <v>29</v>
      </c>
      <c r="K411">
        <v>1</v>
      </c>
      <c r="L411" t="s">
        <v>38</v>
      </c>
      <c r="M411" t="s">
        <v>22</v>
      </c>
      <c r="N411" t="s">
        <v>31</v>
      </c>
    </row>
    <row r="412" spans="1:14" x14ac:dyDescent="0.3">
      <c r="A412" t="s">
        <v>297</v>
      </c>
      <c r="B412" t="s">
        <v>25</v>
      </c>
      <c r="C412" t="s">
        <v>168</v>
      </c>
      <c r="D412" t="s">
        <v>136</v>
      </c>
      <c r="E412" t="s">
        <v>217</v>
      </c>
      <c r="F412" t="s">
        <v>132</v>
      </c>
      <c r="G412">
        <v>47487000</v>
      </c>
      <c r="H412" s="1">
        <v>44509</v>
      </c>
      <c r="I412">
        <v>2021</v>
      </c>
      <c r="J412" t="s">
        <v>72</v>
      </c>
      <c r="K412">
        <v>11</v>
      </c>
      <c r="L412" t="s">
        <v>65</v>
      </c>
      <c r="M412" t="s">
        <v>39</v>
      </c>
      <c r="N412" t="s">
        <v>31</v>
      </c>
    </row>
    <row r="413" spans="1:14" x14ac:dyDescent="0.3">
      <c r="A413" t="s">
        <v>430</v>
      </c>
      <c r="B413" t="s">
        <v>42</v>
      </c>
      <c r="C413" t="s">
        <v>182</v>
      </c>
      <c r="D413" t="s">
        <v>70</v>
      </c>
      <c r="E413" t="s">
        <v>215</v>
      </c>
      <c r="F413" t="s">
        <v>19</v>
      </c>
      <c r="G413">
        <v>1664000</v>
      </c>
      <c r="H413" s="1">
        <v>45130</v>
      </c>
      <c r="I413">
        <v>2023</v>
      </c>
      <c r="J413" t="s">
        <v>57</v>
      </c>
      <c r="K413">
        <v>7</v>
      </c>
      <c r="L413" t="s">
        <v>21</v>
      </c>
      <c r="M413" t="s">
        <v>30</v>
      </c>
      <c r="N413" t="s">
        <v>47</v>
      </c>
    </row>
    <row r="414" spans="1:14" x14ac:dyDescent="0.3">
      <c r="A414" t="s">
        <v>352</v>
      </c>
      <c r="B414" t="s">
        <v>32</v>
      </c>
      <c r="C414" t="s">
        <v>33</v>
      </c>
      <c r="D414" t="s">
        <v>136</v>
      </c>
      <c r="E414" t="s">
        <v>28</v>
      </c>
      <c r="F414" t="s">
        <v>103</v>
      </c>
      <c r="G414">
        <v>13122000</v>
      </c>
      <c r="H414" s="1">
        <v>44677</v>
      </c>
      <c r="I414">
        <v>2022</v>
      </c>
      <c r="J414" t="s">
        <v>20</v>
      </c>
      <c r="K414">
        <v>4</v>
      </c>
      <c r="L414" t="s">
        <v>38</v>
      </c>
      <c r="M414" t="s">
        <v>39</v>
      </c>
      <c r="N414" t="s">
        <v>40</v>
      </c>
    </row>
    <row r="415" spans="1:14" x14ac:dyDescent="0.3">
      <c r="A415" t="s">
        <v>120</v>
      </c>
      <c r="B415" t="s">
        <v>15</v>
      </c>
      <c r="C415" t="s">
        <v>110</v>
      </c>
      <c r="D415" t="s">
        <v>136</v>
      </c>
      <c r="E415" t="s">
        <v>378</v>
      </c>
      <c r="F415" t="s">
        <v>92</v>
      </c>
      <c r="G415">
        <v>3529000</v>
      </c>
      <c r="H415" s="1">
        <v>45659</v>
      </c>
      <c r="I415">
        <v>2025</v>
      </c>
      <c r="J415" t="s">
        <v>29</v>
      </c>
      <c r="K415">
        <v>1</v>
      </c>
      <c r="L415" t="s">
        <v>65</v>
      </c>
      <c r="M415" t="s">
        <v>30</v>
      </c>
      <c r="N415" t="s">
        <v>23</v>
      </c>
    </row>
    <row r="416" spans="1:14" x14ac:dyDescent="0.3">
      <c r="A416" t="s">
        <v>287</v>
      </c>
      <c r="B416" t="s">
        <v>42</v>
      </c>
      <c r="C416" t="s">
        <v>43</v>
      </c>
      <c r="D416" t="s">
        <v>54</v>
      </c>
      <c r="E416" t="s">
        <v>183</v>
      </c>
      <c r="F416" t="s">
        <v>19</v>
      </c>
      <c r="G416">
        <v>514000</v>
      </c>
      <c r="H416" s="1">
        <v>43949</v>
      </c>
      <c r="I416">
        <v>2020</v>
      </c>
      <c r="J416" t="s">
        <v>20</v>
      </c>
      <c r="K416">
        <v>4</v>
      </c>
      <c r="L416" t="s">
        <v>21</v>
      </c>
      <c r="M416" t="s">
        <v>22</v>
      </c>
      <c r="N416" t="s">
        <v>47</v>
      </c>
    </row>
    <row r="417" spans="1:14" x14ac:dyDescent="0.3">
      <c r="A417" t="s">
        <v>109</v>
      </c>
      <c r="B417" t="s">
        <v>105</v>
      </c>
      <c r="C417" t="s">
        <v>345</v>
      </c>
      <c r="D417" t="s">
        <v>70</v>
      </c>
      <c r="E417" t="s">
        <v>231</v>
      </c>
      <c r="F417" t="s">
        <v>132</v>
      </c>
      <c r="G417">
        <v>67366000</v>
      </c>
      <c r="H417" s="1">
        <v>45427</v>
      </c>
      <c r="I417">
        <v>2024</v>
      </c>
      <c r="J417" t="s">
        <v>77</v>
      </c>
      <c r="K417">
        <v>5</v>
      </c>
      <c r="L417" t="s">
        <v>65</v>
      </c>
      <c r="M417" t="s">
        <v>39</v>
      </c>
      <c r="N417" t="s">
        <v>23</v>
      </c>
    </row>
    <row r="418" spans="1:14" x14ac:dyDescent="0.3">
      <c r="A418" t="s">
        <v>455</v>
      </c>
      <c r="B418" t="s">
        <v>68</v>
      </c>
      <c r="C418" t="s">
        <v>69</v>
      </c>
      <c r="D418" t="s">
        <v>70</v>
      </c>
      <c r="E418" t="s">
        <v>472</v>
      </c>
      <c r="F418" t="s">
        <v>56</v>
      </c>
      <c r="G418">
        <v>196000</v>
      </c>
      <c r="H418" s="1">
        <v>43908</v>
      </c>
      <c r="I418">
        <v>2020</v>
      </c>
      <c r="J418" t="s">
        <v>37</v>
      </c>
      <c r="K418">
        <v>3</v>
      </c>
      <c r="L418" t="s">
        <v>38</v>
      </c>
      <c r="M418" t="s">
        <v>22</v>
      </c>
      <c r="N418" t="s">
        <v>31</v>
      </c>
    </row>
    <row r="419" spans="1:14" x14ac:dyDescent="0.3">
      <c r="A419" t="s">
        <v>438</v>
      </c>
      <c r="B419" t="s">
        <v>59</v>
      </c>
      <c r="C419" t="s">
        <v>60</v>
      </c>
      <c r="D419" t="s">
        <v>44</v>
      </c>
      <c r="E419" t="s">
        <v>473</v>
      </c>
      <c r="F419" t="s">
        <v>117</v>
      </c>
      <c r="G419">
        <v>43000</v>
      </c>
      <c r="H419" s="1">
        <v>43839</v>
      </c>
      <c r="I419">
        <v>2020</v>
      </c>
      <c r="J419" t="s">
        <v>29</v>
      </c>
      <c r="K419">
        <v>1</v>
      </c>
      <c r="L419" t="s">
        <v>21</v>
      </c>
      <c r="M419" t="s">
        <v>22</v>
      </c>
      <c r="N419" t="s">
        <v>31</v>
      </c>
    </row>
    <row r="420" spans="1:14" x14ac:dyDescent="0.3">
      <c r="A420" t="s">
        <v>237</v>
      </c>
      <c r="B420" t="s">
        <v>68</v>
      </c>
      <c r="C420" t="s">
        <v>149</v>
      </c>
      <c r="D420" t="s">
        <v>75</v>
      </c>
      <c r="E420" t="s">
        <v>200</v>
      </c>
      <c r="F420" t="s">
        <v>19</v>
      </c>
      <c r="G420">
        <v>598000</v>
      </c>
      <c r="H420" s="1">
        <v>43964</v>
      </c>
      <c r="I420">
        <v>2020</v>
      </c>
      <c r="J420" t="s">
        <v>77</v>
      </c>
      <c r="K420">
        <v>5</v>
      </c>
      <c r="L420" t="s">
        <v>21</v>
      </c>
      <c r="M420" t="s">
        <v>22</v>
      </c>
      <c r="N420" t="s">
        <v>31</v>
      </c>
    </row>
    <row r="421" spans="1:14" x14ac:dyDescent="0.3">
      <c r="A421" t="s">
        <v>323</v>
      </c>
      <c r="B421" t="s">
        <v>42</v>
      </c>
      <c r="C421" t="s">
        <v>205</v>
      </c>
      <c r="D421" t="s">
        <v>111</v>
      </c>
      <c r="E421" t="s">
        <v>474</v>
      </c>
      <c r="F421" t="s">
        <v>103</v>
      </c>
      <c r="G421">
        <v>7671000</v>
      </c>
      <c r="H421" s="1">
        <v>44522</v>
      </c>
      <c r="I421">
        <v>2021</v>
      </c>
      <c r="J421" t="s">
        <v>72</v>
      </c>
      <c r="K421">
        <v>11</v>
      </c>
      <c r="L421" t="s">
        <v>38</v>
      </c>
      <c r="M421" t="s">
        <v>30</v>
      </c>
      <c r="N421" t="s">
        <v>47</v>
      </c>
    </row>
    <row r="422" spans="1:14" x14ac:dyDescent="0.3">
      <c r="A422" t="s">
        <v>305</v>
      </c>
      <c r="B422" t="s">
        <v>42</v>
      </c>
      <c r="C422" t="s">
        <v>43</v>
      </c>
      <c r="D422" t="s">
        <v>44</v>
      </c>
      <c r="E422" t="s">
        <v>475</v>
      </c>
      <c r="F422" t="s">
        <v>19</v>
      </c>
      <c r="G422">
        <v>927000</v>
      </c>
      <c r="H422" s="1">
        <v>45688</v>
      </c>
      <c r="I422">
        <v>2025</v>
      </c>
      <c r="J422" t="s">
        <v>29</v>
      </c>
      <c r="K422">
        <v>1</v>
      </c>
      <c r="L422" t="s">
        <v>21</v>
      </c>
      <c r="M422" t="s">
        <v>22</v>
      </c>
      <c r="N422" t="s">
        <v>47</v>
      </c>
    </row>
    <row r="423" spans="1:14" x14ac:dyDescent="0.3">
      <c r="A423" t="s">
        <v>259</v>
      </c>
      <c r="B423" t="s">
        <v>81</v>
      </c>
      <c r="C423" t="s">
        <v>82</v>
      </c>
      <c r="D423" t="s">
        <v>111</v>
      </c>
      <c r="E423" t="s">
        <v>476</v>
      </c>
      <c r="F423" t="s">
        <v>19</v>
      </c>
      <c r="G423">
        <v>920000</v>
      </c>
      <c r="H423" s="1">
        <v>44581</v>
      </c>
      <c r="I423">
        <v>2022</v>
      </c>
      <c r="J423" t="s">
        <v>29</v>
      </c>
      <c r="K423">
        <v>1</v>
      </c>
      <c r="L423" t="s">
        <v>21</v>
      </c>
      <c r="M423" t="s">
        <v>22</v>
      </c>
      <c r="N423" t="s">
        <v>84</v>
      </c>
    </row>
    <row r="424" spans="1:14" x14ac:dyDescent="0.3">
      <c r="A424" t="s">
        <v>294</v>
      </c>
      <c r="B424" t="s">
        <v>126</v>
      </c>
      <c r="C424" t="s">
        <v>159</v>
      </c>
      <c r="D424" t="s">
        <v>75</v>
      </c>
      <c r="E424" t="s">
        <v>116</v>
      </c>
      <c r="F424" t="s">
        <v>92</v>
      </c>
      <c r="G424">
        <v>176000</v>
      </c>
      <c r="H424" s="1">
        <v>45186</v>
      </c>
      <c r="I424">
        <v>2023</v>
      </c>
      <c r="J424" t="s">
        <v>46</v>
      </c>
      <c r="K424">
        <v>9</v>
      </c>
      <c r="L424" t="s">
        <v>65</v>
      </c>
      <c r="M424" t="s">
        <v>22</v>
      </c>
      <c r="N424" t="s">
        <v>40</v>
      </c>
    </row>
    <row r="425" spans="1:14" x14ac:dyDescent="0.3">
      <c r="A425" t="s">
        <v>477</v>
      </c>
      <c r="B425" t="s">
        <v>186</v>
      </c>
      <c r="C425" t="s">
        <v>60</v>
      </c>
      <c r="D425" t="s">
        <v>70</v>
      </c>
      <c r="E425" t="s">
        <v>226</v>
      </c>
      <c r="F425" t="s">
        <v>56</v>
      </c>
      <c r="G425">
        <v>312000</v>
      </c>
      <c r="H425" s="1">
        <v>44951</v>
      </c>
      <c r="I425">
        <v>2023</v>
      </c>
      <c r="J425" t="s">
        <v>29</v>
      </c>
      <c r="K425">
        <v>1</v>
      </c>
      <c r="L425" t="s">
        <v>38</v>
      </c>
      <c r="M425" t="s">
        <v>22</v>
      </c>
      <c r="N425" t="s">
        <v>31</v>
      </c>
    </row>
    <row r="426" spans="1:14" x14ac:dyDescent="0.3">
      <c r="A426" t="s">
        <v>73</v>
      </c>
      <c r="B426" t="s">
        <v>49</v>
      </c>
      <c r="C426" t="s">
        <v>50</v>
      </c>
      <c r="D426" t="s">
        <v>27</v>
      </c>
      <c r="E426" t="s">
        <v>315</v>
      </c>
      <c r="F426" t="s">
        <v>19</v>
      </c>
      <c r="G426">
        <v>62000</v>
      </c>
      <c r="H426" s="1">
        <v>45186</v>
      </c>
      <c r="I426">
        <v>2023</v>
      </c>
      <c r="J426" t="s">
        <v>46</v>
      </c>
      <c r="K426">
        <v>9</v>
      </c>
      <c r="L426" t="s">
        <v>21</v>
      </c>
      <c r="M426" t="s">
        <v>22</v>
      </c>
      <c r="N426" t="s">
        <v>40</v>
      </c>
    </row>
    <row r="427" spans="1:14" x14ac:dyDescent="0.3">
      <c r="A427" t="s">
        <v>178</v>
      </c>
      <c r="B427" t="s">
        <v>25</v>
      </c>
      <c r="C427" t="s">
        <v>171</v>
      </c>
      <c r="D427" t="s">
        <v>136</v>
      </c>
      <c r="E427" t="s">
        <v>449</v>
      </c>
      <c r="F427" t="s">
        <v>175</v>
      </c>
      <c r="G427">
        <v>177214000</v>
      </c>
      <c r="H427" s="1">
        <v>44045</v>
      </c>
      <c r="I427">
        <v>2020</v>
      </c>
      <c r="J427" t="s">
        <v>153</v>
      </c>
      <c r="K427">
        <v>8</v>
      </c>
      <c r="L427" t="s">
        <v>65</v>
      </c>
      <c r="M427" t="s">
        <v>66</v>
      </c>
      <c r="N427" t="s">
        <v>31</v>
      </c>
    </row>
    <row r="428" spans="1:14" x14ac:dyDescent="0.3">
      <c r="A428" t="s">
        <v>191</v>
      </c>
      <c r="B428" t="s">
        <v>59</v>
      </c>
      <c r="C428" t="s">
        <v>123</v>
      </c>
      <c r="D428" t="s">
        <v>70</v>
      </c>
      <c r="E428" t="s">
        <v>242</v>
      </c>
      <c r="F428" t="s">
        <v>19</v>
      </c>
      <c r="G428">
        <v>255000</v>
      </c>
      <c r="H428" s="1">
        <v>44240</v>
      </c>
      <c r="I428">
        <v>2021</v>
      </c>
      <c r="J428" t="s">
        <v>108</v>
      </c>
      <c r="K428">
        <v>2</v>
      </c>
      <c r="L428" t="s">
        <v>21</v>
      </c>
      <c r="M428" t="s">
        <v>22</v>
      </c>
      <c r="N428" t="s">
        <v>31</v>
      </c>
    </row>
    <row r="429" spans="1:14" x14ac:dyDescent="0.3">
      <c r="A429" t="s">
        <v>342</v>
      </c>
      <c r="B429" t="s">
        <v>68</v>
      </c>
      <c r="C429" t="s">
        <v>69</v>
      </c>
      <c r="D429" t="s">
        <v>54</v>
      </c>
      <c r="E429" t="s">
        <v>315</v>
      </c>
      <c r="F429" t="s">
        <v>117</v>
      </c>
      <c r="G429">
        <v>154000</v>
      </c>
      <c r="H429" s="1">
        <v>44847</v>
      </c>
      <c r="I429">
        <v>2022</v>
      </c>
      <c r="J429" t="s">
        <v>89</v>
      </c>
      <c r="K429">
        <v>10</v>
      </c>
      <c r="L429" t="s">
        <v>21</v>
      </c>
      <c r="M429" t="s">
        <v>22</v>
      </c>
      <c r="N429" t="s">
        <v>31</v>
      </c>
    </row>
    <row r="430" spans="1:14" x14ac:dyDescent="0.3">
      <c r="A430" t="s">
        <v>239</v>
      </c>
      <c r="B430" t="s">
        <v>81</v>
      </c>
      <c r="C430" t="s">
        <v>250</v>
      </c>
      <c r="D430" t="s">
        <v>17</v>
      </c>
      <c r="E430" t="s">
        <v>359</v>
      </c>
      <c r="F430" t="s">
        <v>128</v>
      </c>
      <c r="G430">
        <v>14000</v>
      </c>
      <c r="H430" s="1">
        <v>45541</v>
      </c>
      <c r="I430">
        <v>2024</v>
      </c>
      <c r="J430" t="s">
        <v>46</v>
      </c>
      <c r="K430">
        <v>9</v>
      </c>
      <c r="L430" t="s">
        <v>21</v>
      </c>
      <c r="M430" t="s">
        <v>22</v>
      </c>
      <c r="N430" t="s">
        <v>84</v>
      </c>
    </row>
    <row r="431" spans="1:14" x14ac:dyDescent="0.3">
      <c r="A431" t="s">
        <v>155</v>
      </c>
      <c r="B431" t="s">
        <v>59</v>
      </c>
      <c r="C431" t="s">
        <v>60</v>
      </c>
      <c r="D431" t="s">
        <v>17</v>
      </c>
      <c r="E431" t="s">
        <v>116</v>
      </c>
      <c r="F431" t="s">
        <v>36</v>
      </c>
      <c r="G431">
        <v>6917000</v>
      </c>
      <c r="H431" s="1">
        <v>44038</v>
      </c>
      <c r="I431">
        <v>2020</v>
      </c>
      <c r="J431" t="s">
        <v>57</v>
      </c>
      <c r="K431">
        <v>7</v>
      </c>
      <c r="L431" t="s">
        <v>38</v>
      </c>
      <c r="M431" t="s">
        <v>30</v>
      </c>
      <c r="N431" t="s">
        <v>31</v>
      </c>
    </row>
    <row r="432" spans="1:14" x14ac:dyDescent="0.3">
      <c r="A432" t="s">
        <v>478</v>
      </c>
      <c r="B432" t="s">
        <v>94</v>
      </c>
      <c r="C432" t="s">
        <v>159</v>
      </c>
      <c r="D432" t="s">
        <v>70</v>
      </c>
      <c r="E432" t="s">
        <v>28</v>
      </c>
      <c r="F432" t="s">
        <v>19</v>
      </c>
      <c r="G432">
        <v>85000</v>
      </c>
      <c r="H432" s="1">
        <v>45496</v>
      </c>
      <c r="I432">
        <v>2024</v>
      </c>
      <c r="J432" t="s">
        <v>57</v>
      </c>
      <c r="K432">
        <v>7</v>
      </c>
      <c r="L432" t="s">
        <v>21</v>
      </c>
      <c r="M432" t="s">
        <v>22</v>
      </c>
      <c r="N432" t="s">
        <v>40</v>
      </c>
    </row>
    <row r="433" spans="1:14" x14ac:dyDescent="0.3">
      <c r="A433" t="s">
        <v>323</v>
      </c>
      <c r="B433" t="s">
        <v>86</v>
      </c>
      <c r="C433" t="s">
        <v>228</v>
      </c>
      <c r="D433" t="s">
        <v>136</v>
      </c>
      <c r="E433" t="s">
        <v>157</v>
      </c>
      <c r="F433" t="s">
        <v>36</v>
      </c>
      <c r="G433">
        <v>41297000</v>
      </c>
      <c r="H433" s="1">
        <v>44025</v>
      </c>
      <c r="I433">
        <v>2020</v>
      </c>
      <c r="J433" t="s">
        <v>57</v>
      </c>
      <c r="K433">
        <v>7</v>
      </c>
      <c r="L433" t="s">
        <v>38</v>
      </c>
      <c r="M433" t="s">
        <v>39</v>
      </c>
      <c r="N433" t="s">
        <v>47</v>
      </c>
    </row>
    <row r="434" spans="1:14" x14ac:dyDescent="0.3">
      <c r="A434" t="s">
        <v>316</v>
      </c>
      <c r="B434" t="s">
        <v>105</v>
      </c>
      <c r="C434" t="s">
        <v>106</v>
      </c>
      <c r="D434" t="s">
        <v>96</v>
      </c>
      <c r="E434" t="s">
        <v>479</v>
      </c>
      <c r="F434" t="s">
        <v>128</v>
      </c>
      <c r="G434">
        <v>32000</v>
      </c>
      <c r="H434" s="1">
        <v>45787</v>
      </c>
      <c r="I434">
        <v>2025</v>
      </c>
      <c r="J434" t="s">
        <v>77</v>
      </c>
      <c r="K434">
        <v>5</v>
      </c>
      <c r="L434" t="s">
        <v>21</v>
      </c>
      <c r="M434" t="s">
        <v>22</v>
      </c>
      <c r="N434" t="s">
        <v>23</v>
      </c>
    </row>
    <row r="435" spans="1:14" x14ac:dyDescent="0.3">
      <c r="A435" t="s">
        <v>468</v>
      </c>
      <c r="B435" t="s">
        <v>105</v>
      </c>
      <c r="C435" t="s">
        <v>162</v>
      </c>
      <c r="D435" t="s">
        <v>136</v>
      </c>
      <c r="E435" t="s">
        <v>242</v>
      </c>
      <c r="F435" t="s">
        <v>56</v>
      </c>
      <c r="G435">
        <v>126000</v>
      </c>
      <c r="H435" s="1">
        <v>44765</v>
      </c>
      <c r="I435">
        <v>2022</v>
      </c>
      <c r="J435" t="s">
        <v>57</v>
      </c>
      <c r="K435">
        <v>7</v>
      </c>
      <c r="L435" t="s">
        <v>38</v>
      </c>
      <c r="M435" t="s">
        <v>22</v>
      </c>
      <c r="N435" t="s">
        <v>23</v>
      </c>
    </row>
    <row r="436" spans="1:14" x14ac:dyDescent="0.3">
      <c r="A436" t="s">
        <v>480</v>
      </c>
      <c r="B436" t="s">
        <v>49</v>
      </c>
      <c r="C436" t="s">
        <v>135</v>
      </c>
      <c r="D436" t="s">
        <v>17</v>
      </c>
      <c r="E436" t="s">
        <v>61</v>
      </c>
      <c r="F436" t="s">
        <v>19</v>
      </c>
      <c r="G436">
        <v>68000</v>
      </c>
      <c r="H436" s="1">
        <v>45318</v>
      </c>
      <c r="I436">
        <v>2024</v>
      </c>
      <c r="J436" t="s">
        <v>29</v>
      </c>
      <c r="K436">
        <v>1</v>
      </c>
      <c r="L436" t="s">
        <v>21</v>
      </c>
      <c r="M436" t="s">
        <v>22</v>
      </c>
      <c r="N436" t="s">
        <v>40</v>
      </c>
    </row>
    <row r="437" spans="1:14" x14ac:dyDescent="0.3">
      <c r="A437" t="s">
        <v>100</v>
      </c>
      <c r="B437" t="s">
        <v>126</v>
      </c>
      <c r="C437" t="s">
        <v>265</v>
      </c>
      <c r="D437" t="s">
        <v>75</v>
      </c>
      <c r="E437" t="s">
        <v>97</v>
      </c>
      <c r="F437" t="s">
        <v>36</v>
      </c>
      <c r="G437">
        <v>34916000</v>
      </c>
      <c r="H437" s="1">
        <v>44202</v>
      </c>
      <c r="I437">
        <v>2021</v>
      </c>
      <c r="J437" t="s">
        <v>29</v>
      </c>
      <c r="K437">
        <v>1</v>
      </c>
      <c r="L437" t="s">
        <v>38</v>
      </c>
      <c r="M437" t="s">
        <v>39</v>
      </c>
      <c r="N437" t="s">
        <v>40</v>
      </c>
    </row>
    <row r="438" spans="1:14" x14ac:dyDescent="0.3">
      <c r="A438" t="s">
        <v>481</v>
      </c>
      <c r="B438" t="s">
        <v>114</v>
      </c>
      <c r="C438" t="s">
        <v>243</v>
      </c>
      <c r="D438" t="s">
        <v>54</v>
      </c>
      <c r="E438" t="s">
        <v>369</v>
      </c>
      <c r="F438" t="s">
        <v>103</v>
      </c>
      <c r="G438">
        <v>1218000</v>
      </c>
      <c r="H438" s="1">
        <v>44830</v>
      </c>
      <c r="I438">
        <v>2022</v>
      </c>
      <c r="J438" t="s">
        <v>46</v>
      </c>
      <c r="K438">
        <v>9</v>
      </c>
      <c r="L438" t="s">
        <v>38</v>
      </c>
      <c r="M438" t="s">
        <v>30</v>
      </c>
      <c r="N438" t="s">
        <v>47</v>
      </c>
    </row>
    <row r="439" spans="1:14" x14ac:dyDescent="0.3">
      <c r="A439" t="s">
        <v>235</v>
      </c>
      <c r="B439" t="s">
        <v>81</v>
      </c>
      <c r="C439" t="s">
        <v>250</v>
      </c>
      <c r="D439" t="s">
        <v>34</v>
      </c>
      <c r="E439" t="s">
        <v>482</v>
      </c>
      <c r="F439" t="s">
        <v>36</v>
      </c>
      <c r="G439">
        <v>48819000</v>
      </c>
      <c r="H439" s="1">
        <v>43856</v>
      </c>
      <c r="I439">
        <v>2020</v>
      </c>
      <c r="J439" t="s">
        <v>29</v>
      </c>
      <c r="K439">
        <v>1</v>
      </c>
      <c r="L439" t="s">
        <v>38</v>
      </c>
      <c r="M439" t="s">
        <v>39</v>
      </c>
      <c r="N439" t="s">
        <v>84</v>
      </c>
    </row>
    <row r="440" spans="1:14" x14ac:dyDescent="0.3">
      <c r="A440" t="s">
        <v>366</v>
      </c>
      <c r="B440" t="s">
        <v>49</v>
      </c>
      <c r="C440" t="s">
        <v>225</v>
      </c>
      <c r="D440" t="s">
        <v>111</v>
      </c>
      <c r="E440" t="s">
        <v>483</v>
      </c>
      <c r="F440" t="s">
        <v>103</v>
      </c>
      <c r="G440">
        <v>6770000</v>
      </c>
      <c r="H440" s="1">
        <v>45265</v>
      </c>
      <c r="I440">
        <v>2023</v>
      </c>
      <c r="J440" t="s">
        <v>99</v>
      </c>
      <c r="K440">
        <v>12</v>
      </c>
      <c r="L440" t="s">
        <v>38</v>
      </c>
      <c r="M440" t="s">
        <v>30</v>
      </c>
      <c r="N440" t="s">
        <v>40</v>
      </c>
    </row>
    <row r="441" spans="1:14" x14ac:dyDescent="0.3">
      <c r="A441" t="s">
        <v>80</v>
      </c>
      <c r="B441" t="s">
        <v>49</v>
      </c>
      <c r="C441" t="s">
        <v>50</v>
      </c>
      <c r="D441" t="s">
        <v>136</v>
      </c>
      <c r="E441" t="s">
        <v>321</v>
      </c>
      <c r="F441" t="s">
        <v>19</v>
      </c>
      <c r="G441">
        <v>67000</v>
      </c>
      <c r="H441" s="1">
        <v>45523</v>
      </c>
      <c r="I441">
        <v>2024</v>
      </c>
      <c r="J441" t="s">
        <v>153</v>
      </c>
      <c r="K441">
        <v>8</v>
      </c>
      <c r="L441" t="s">
        <v>21</v>
      </c>
      <c r="M441" t="s">
        <v>22</v>
      </c>
      <c r="N441" t="s">
        <v>40</v>
      </c>
    </row>
    <row r="442" spans="1:14" x14ac:dyDescent="0.3">
      <c r="A442" t="s">
        <v>466</v>
      </c>
      <c r="B442" t="s">
        <v>105</v>
      </c>
      <c r="C442" t="s">
        <v>119</v>
      </c>
      <c r="D442" t="s">
        <v>70</v>
      </c>
      <c r="E442" t="s">
        <v>301</v>
      </c>
      <c r="F442" t="s">
        <v>64</v>
      </c>
      <c r="G442">
        <v>62547000</v>
      </c>
      <c r="H442" s="1">
        <v>43984</v>
      </c>
      <c r="I442">
        <v>2020</v>
      </c>
      <c r="J442" t="s">
        <v>141</v>
      </c>
      <c r="K442">
        <v>6</v>
      </c>
      <c r="L442" t="s">
        <v>65</v>
      </c>
      <c r="M442" t="s">
        <v>39</v>
      </c>
      <c r="N442" t="s">
        <v>23</v>
      </c>
    </row>
    <row r="443" spans="1:14" x14ac:dyDescent="0.3">
      <c r="A443" t="s">
        <v>484</v>
      </c>
      <c r="B443" t="s">
        <v>15</v>
      </c>
      <c r="C443" t="s">
        <v>53</v>
      </c>
      <c r="D443" t="s">
        <v>136</v>
      </c>
      <c r="E443" t="s">
        <v>485</v>
      </c>
      <c r="F443" t="s">
        <v>132</v>
      </c>
      <c r="G443">
        <v>289340000</v>
      </c>
      <c r="H443" s="1">
        <v>43992</v>
      </c>
      <c r="I443">
        <v>2020</v>
      </c>
      <c r="J443" t="s">
        <v>141</v>
      </c>
      <c r="K443">
        <v>6</v>
      </c>
      <c r="L443" t="s">
        <v>65</v>
      </c>
      <c r="M443" t="s">
        <v>66</v>
      </c>
      <c r="N443" t="s">
        <v>23</v>
      </c>
    </row>
    <row r="444" spans="1:14" x14ac:dyDescent="0.3">
      <c r="A444" t="s">
        <v>198</v>
      </c>
      <c r="B444" t="s">
        <v>114</v>
      </c>
      <c r="C444" t="s">
        <v>115</v>
      </c>
      <c r="D444" t="s">
        <v>70</v>
      </c>
      <c r="E444" t="s">
        <v>486</v>
      </c>
      <c r="F444" t="s">
        <v>19</v>
      </c>
      <c r="G444">
        <v>199000</v>
      </c>
      <c r="H444" s="1">
        <v>44849</v>
      </c>
      <c r="I444">
        <v>2022</v>
      </c>
      <c r="J444" t="s">
        <v>89</v>
      </c>
      <c r="K444">
        <v>10</v>
      </c>
      <c r="L444" t="s">
        <v>21</v>
      </c>
      <c r="M444" t="s">
        <v>22</v>
      </c>
      <c r="N444" t="s">
        <v>47</v>
      </c>
    </row>
    <row r="445" spans="1:14" x14ac:dyDescent="0.3">
      <c r="A445" t="s">
        <v>67</v>
      </c>
      <c r="B445" t="s">
        <v>114</v>
      </c>
      <c r="C445" t="s">
        <v>156</v>
      </c>
      <c r="D445" t="s">
        <v>75</v>
      </c>
      <c r="E445" t="s">
        <v>369</v>
      </c>
      <c r="F445" t="s">
        <v>188</v>
      </c>
      <c r="G445">
        <v>196000</v>
      </c>
      <c r="H445" s="1">
        <v>45136</v>
      </c>
      <c r="I445">
        <v>2023</v>
      </c>
      <c r="J445" t="s">
        <v>57</v>
      </c>
      <c r="K445">
        <v>7</v>
      </c>
      <c r="L445" t="s">
        <v>38</v>
      </c>
      <c r="M445" t="s">
        <v>22</v>
      </c>
      <c r="N445" t="s">
        <v>47</v>
      </c>
    </row>
    <row r="446" spans="1:14" x14ac:dyDescent="0.3">
      <c r="A446" t="s">
        <v>85</v>
      </c>
      <c r="B446" t="s">
        <v>42</v>
      </c>
      <c r="C446" t="s">
        <v>43</v>
      </c>
      <c r="D446" t="s">
        <v>96</v>
      </c>
      <c r="E446" t="s">
        <v>242</v>
      </c>
      <c r="F446" t="s">
        <v>132</v>
      </c>
      <c r="G446">
        <v>180699000</v>
      </c>
      <c r="H446" s="1">
        <v>45503</v>
      </c>
      <c r="I446">
        <v>2024</v>
      </c>
      <c r="J446" t="s">
        <v>57</v>
      </c>
      <c r="K446">
        <v>7</v>
      </c>
      <c r="L446" t="s">
        <v>65</v>
      </c>
      <c r="M446" t="s">
        <v>66</v>
      </c>
      <c r="N446" t="s">
        <v>47</v>
      </c>
    </row>
    <row r="447" spans="1:14" x14ac:dyDescent="0.3">
      <c r="A447" t="s">
        <v>282</v>
      </c>
      <c r="B447" t="s">
        <v>126</v>
      </c>
      <c r="C447" t="s">
        <v>127</v>
      </c>
      <c r="D447" t="s">
        <v>70</v>
      </c>
      <c r="E447" t="s">
        <v>487</v>
      </c>
      <c r="F447" t="s">
        <v>36</v>
      </c>
      <c r="G447">
        <v>69115000</v>
      </c>
      <c r="H447" s="1">
        <v>44575</v>
      </c>
      <c r="I447">
        <v>2022</v>
      </c>
      <c r="J447" t="s">
        <v>29</v>
      </c>
      <c r="K447">
        <v>1</v>
      </c>
      <c r="L447" t="s">
        <v>38</v>
      </c>
      <c r="M447" t="s">
        <v>39</v>
      </c>
      <c r="N447" t="s">
        <v>40</v>
      </c>
    </row>
    <row r="448" spans="1:14" x14ac:dyDescent="0.3">
      <c r="A448" t="s">
        <v>67</v>
      </c>
      <c r="B448" t="s">
        <v>86</v>
      </c>
      <c r="C448" t="s">
        <v>228</v>
      </c>
      <c r="D448" t="s">
        <v>34</v>
      </c>
      <c r="E448" t="s">
        <v>488</v>
      </c>
      <c r="F448" t="s">
        <v>103</v>
      </c>
      <c r="G448">
        <v>14442000</v>
      </c>
      <c r="H448" s="1">
        <v>44596</v>
      </c>
      <c r="I448">
        <v>2022</v>
      </c>
      <c r="J448" t="s">
        <v>108</v>
      </c>
      <c r="K448">
        <v>2</v>
      </c>
      <c r="L448" t="s">
        <v>38</v>
      </c>
      <c r="M448" t="s">
        <v>39</v>
      </c>
      <c r="N448" t="s">
        <v>47</v>
      </c>
    </row>
    <row r="449" spans="1:14" x14ac:dyDescent="0.3">
      <c r="A449" t="s">
        <v>125</v>
      </c>
      <c r="B449" t="s">
        <v>186</v>
      </c>
      <c r="C449" t="s">
        <v>341</v>
      </c>
      <c r="D449" t="s">
        <v>75</v>
      </c>
      <c r="E449" t="s">
        <v>489</v>
      </c>
      <c r="F449" t="s">
        <v>19</v>
      </c>
      <c r="G449">
        <v>805000</v>
      </c>
      <c r="H449" s="1">
        <v>44078</v>
      </c>
      <c r="I449">
        <v>2020</v>
      </c>
      <c r="J449" t="s">
        <v>46</v>
      </c>
      <c r="K449">
        <v>9</v>
      </c>
      <c r="L449" t="s">
        <v>21</v>
      </c>
      <c r="M449" t="s">
        <v>22</v>
      </c>
      <c r="N449" t="s">
        <v>31</v>
      </c>
    </row>
    <row r="450" spans="1:14" x14ac:dyDescent="0.3">
      <c r="A450" t="s">
        <v>304</v>
      </c>
      <c r="B450" t="s">
        <v>186</v>
      </c>
      <c r="C450" t="s">
        <v>60</v>
      </c>
      <c r="D450" t="s">
        <v>27</v>
      </c>
      <c r="E450" t="s">
        <v>490</v>
      </c>
      <c r="F450" t="s">
        <v>128</v>
      </c>
      <c r="G450">
        <v>15000</v>
      </c>
      <c r="H450" s="1">
        <v>45546</v>
      </c>
      <c r="I450">
        <v>2024</v>
      </c>
      <c r="J450" t="s">
        <v>46</v>
      </c>
      <c r="K450">
        <v>9</v>
      </c>
      <c r="L450" t="s">
        <v>21</v>
      </c>
      <c r="M450" t="s">
        <v>22</v>
      </c>
      <c r="N450" t="s">
        <v>31</v>
      </c>
    </row>
    <row r="451" spans="1:14" x14ac:dyDescent="0.3">
      <c r="A451" t="s">
        <v>93</v>
      </c>
      <c r="B451" t="s">
        <v>105</v>
      </c>
      <c r="C451" t="s">
        <v>119</v>
      </c>
      <c r="D451" t="s">
        <v>27</v>
      </c>
      <c r="E451" t="s">
        <v>363</v>
      </c>
      <c r="F451" t="s">
        <v>103</v>
      </c>
      <c r="G451">
        <v>1254000</v>
      </c>
      <c r="H451" s="1">
        <v>43930</v>
      </c>
      <c r="I451">
        <v>2020</v>
      </c>
      <c r="J451" t="s">
        <v>20</v>
      </c>
      <c r="K451">
        <v>4</v>
      </c>
      <c r="L451" t="s">
        <v>38</v>
      </c>
      <c r="M451" t="s">
        <v>30</v>
      </c>
      <c r="N451" t="s">
        <v>23</v>
      </c>
    </row>
    <row r="452" spans="1:14" x14ac:dyDescent="0.3">
      <c r="A452" t="s">
        <v>239</v>
      </c>
      <c r="B452" t="s">
        <v>59</v>
      </c>
      <c r="C452" t="s">
        <v>123</v>
      </c>
      <c r="D452" t="s">
        <v>75</v>
      </c>
      <c r="E452" t="s">
        <v>112</v>
      </c>
      <c r="F452" t="s">
        <v>19</v>
      </c>
      <c r="G452">
        <v>879000</v>
      </c>
      <c r="H452" s="1">
        <v>45500</v>
      </c>
      <c r="I452">
        <v>2024</v>
      </c>
      <c r="J452" t="s">
        <v>57</v>
      </c>
      <c r="K452">
        <v>7</v>
      </c>
      <c r="L452" t="s">
        <v>21</v>
      </c>
      <c r="M452" t="s">
        <v>22</v>
      </c>
      <c r="N452" t="s">
        <v>31</v>
      </c>
    </row>
    <row r="453" spans="1:14" x14ac:dyDescent="0.3">
      <c r="A453" t="s">
        <v>332</v>
      </c>
      <c r="B453" t="s">
        <v>68</v>
      </c>
      <c r="C453" t="s">
        <v>69</v>
      </c>
      <c r="D453" t="s">
        <v>75</v>
      </c>
      <c r="E453" t="s">
        <v>200</v>
      </c>
      <c r="F453" t="s">
        <v>128</v>
      </c>
      <c r="G453">
        <v>27000</v>
      </c>
      <c r="H453" s="1">
        <v>45392</v>
      </c>
      <c r="I453">
        <v>2024</v>
      </c>
      <c r="J453" t="s">
        <v>20</v>
      </c>
      <c r="K453">
        <v>4</v>
      </c>
      <c r="L453" t="s">
        <v>21</v>
      </c>
      <c r="M453" t="s">
        <v>22</v>
      </c>
      <c r="N453" t="s">
        <v>31</v>
      </c>
    </row>
    <row r="454" spans="1:14" x14ac:dyDescent="0.3">
      <c r="A454" t="s">
        <v>305</v>
      </c>
      <c r="B454" t="s">
        <v>42</v>
      </c>
      <c r="C454" t="s">
        <v>182</v>
      </c>
      <c r="D454" t="s">
        <v>54</v>
      </c>
      <c r="E454" t="s">
        <v>491</v>
      </c>
      <c r="F454" t="s">
        <v>56</v>
      </c>
      <c r="G454">
        <v>266000</v>
      </c>
      <c r="H454" s="1">
        <v>45264</v>
      </c>
      <c r="I454">
        <v>2023</v>
      </c>
      <c r="J454" t="s">
        <v>99</v>
      </c>
      <c r="K454">
        <v>12</v>
      </c>
      <c r="L454" t="s">
        <v>38</v>
      </c>
      <c r="M454" t="s">
        <v>22</v>
      </c>
      <c r="N454" t="s">
        <v>47</v>
      </c>
    </row>
    <row r="455" spans="1:14" x14ac:dyDescent="0.3">
      <c r="A455" t="s">
        <v>142</v>
      </c>
      <c r="B455" t="s">
        <v>32</v>
      </c>
      <c r="C455" t="s">
        <v>101</v>
      </c>
      <c r="D455" t="s">
        <v>44</v>
      </c>
      <c r="E455" t="s">
        <v>492</v>
      </c>
      <c r="F455" t="s">
        <v>19</v>
      </c>
      <c r="G455">
        <v>1416000</v>
      </c>
      <c r="H455" s="1">
        <v>45109</v>
      </c>
      <c r="I455">
        <v>2023</v>
      </c>
      <c r="J455" t="s">
        <v>57</v>
      </c>
      <c r="K455">
        <v>7</v>
      </c>
      <c r="L455" t="s">
        <v>21</v>
      </c>
      <c r="M455" t="s">
        <v>30</v>
      </c>
      <c r="N455" t="s">
        <v>40</v>
      </c>
    </row>
    <row r="456" spans="1:14" x14ac:dyDescent="0.3">
      <c r="A456" t="s">
        <v>129</v>
      </c>
      <c r="B456" t="s">
        <v>25</v>
      </c>
      <c r="C456" t="s">
        <v>26</v>
      </c>
      <c r="D456" t="s">
        <v>96</v>
      </c>
      <c r="E456" t="s">
        <v>192</v>
      </c>
      <c r="F456" t="s">
        <v>36</v>
      </c>
      <c r="G456">
        <v>6806000</v>
      </c>
      <c r="H456" s="1">
        <v>45389</v>
      </c>
      <c r="I456">
        <v>2024</v>
      </c>
      <c r="J456" t="s">
        <v>20</v>
      </c>
      <c r="K456">
        <v>4</v>
      </c>
      <c r="L456" t="s">
        <v>38</v>
      </c>
      <c r="M456" t="s">
        <v>30</v>
      </c>
      <c r="N456" t="s">
        <v>31</v>
      </c>
    </row>
    <row r="457" spans="1:14" x14ac:dyDescent="0.3">
      <c r="A457" t="s">
        <v>347</v>
      </c>
      <c r="B457" t="s">
        <v>114</v>
      </c>
      <c r="C457" t="s">
        <v>243</v>
      </c>
      <c r="D457" t="s">
        <v>34</v>
      </c>
      <c r="E457" t="s">
        <v>91</v>
      </c>
      <c r="F457" t="s">
        <v>64</v>
      </c>
      <c r="G457">
        <v>183477000</v>
      </c>
      <c r="H457" s="1">
        <v>44696</v>
      </c>
      <c r="I457">
        <v>2022</v>
      </c>
      <c r="J457" t="s">
        <v>77</v>
      </c>
      <c r="K457">
        <v>5</v>
      </c>
      <c r="L457" t="s">
        <v>65</v>
      </c>
      <c r="M457" t="s">
        <v>66</v>
      </c>
      <c r="N457" t="s">
        <v>47</v>
      </c>
    </row>
    <row r="458" spans="1:14" x14ac:dyDescent="0.3">
      <c r="A458" t="s">
        <v>285</v>
      </c>
      <c r="B458" t="s">
        <v>81</v>
      </c>
      <c r="C458" t="s">
        <v>250</v>
      </c>
      <c r="D458" t="s">
        <v>44</v>
      </c>
      <c r="E458" t="s">
        <v>61</v>
      </c>
      <c r="F458" t="s">
        <v>19</v>
      </c>
      <c r="G458">
        <v>52000</v>
      </c>
      <c r="H458" s="1">
        <v>45439</v>
      </c>
      <c r="I458">
        <v>2024</v>
      </c>
      <c r="J458" t="s">
        <v>77</v>
      </c>
      <c r="K458">
        <v>5</v>
      </c>
      <c r="L458" t="s">
        <v>21</v>
      </c>
      <c r="M458" t="s">
        <v>22</v>
      </c>
      <c r="N458" t="s">
        <v>84</v>
      </c>
    </row>
    <row r="459" spans="1:14" x14ac:dyDescent="0.3">
      <c r="A459" t="s">
        <v>275</v>
      </c>
      <c r="B459" t="s">
        <v>81</v>
      </c>
      <c r="C459" t="s">
        <v>319</v>
      </c>
      <c r="D459" t="s">
        <v>44</v>
      </c>
      <c r="E459" t="s">
        <v>242</v>
      </c>
      <c r="F459" t="s">
        <v>132</v>
      </c>
      <c r="G459">
        <v>71157000</v>
      </c>
      <c r="H459" s="1">
        <v>43897</v>
      </c>
      <c r="I459">
        <v>2020</v>
      </c>
      <c r="J459" t="s">
        <v>37</v>
      </c>
      <c r="K459">
        <v>3</v>
      </c>
      <c r="L459" t="s">
        <v>65</v>
      </c>
      <c r="M459" t="s">
        <v>39</v>
      </c>
      <c r="N459" t="s">
        <v>84</v>
      </c>
    </row>
    <row r="460" spans="1:14" x14ac:dyDescent="0.3">
      <c r="A460" t="s">
        <v>104</v>
      </c>
      <c r="B460" t="s">
        <v>126</v>
      </c>
      <c r="C460" t="s">
        <v>127</v>
      </c>
      <c r="D460" t="s">
        <v>111</v>
      </c>
      <c r="E460" t="s">
        <v>493</v>
      </c>
      <c r="F460" t="s">
        <v>64</v>
      </c>
      <c r="G460">
        <v>58010000</v>
      </c>
      <c r="H460" s="1">
        <v>45351</v>
      </c>
      <c r="I460">
        <v>2024</v>
      </c>
      <c r="J460" t="s">
        <v>108</v>
      </c>
      <c r="K460">
        <v>2</v>
      </c>
      <c r="L460" t="s">
        <v>65</v>
      </c>
      <c r="M460" t="s">
        <v>39</v>
      </c>
      <c r="N460" t="s">
        <v>40</v>
      </c>
    </row>
    <row r="461" spans="1:14" x14ac:dyDescent="0.3">
      <c r="A461" t="s">
        <v>151</v>
      </c>
      <c r="B461" t="s">
        <v>81</v>
      </c>
      <c r="C461" t="s">
        <v>90</v>
      </c>
      <c r="D461" t="s">
        <v>136</v>
      </c>
      <c r="E461" t="s">
        <v>494</v>
      </c>
      <c r="F461" t="s">
        <v>56</v>
      </c>
      <c r="G461">
        <v>131000</v>
      </c>
      <c r="H461" s="1">
        <v>45445</v>
      </c>
      <c r="I461">
        <v>2024</v>
      </c>
      <c r="J461" t="s">
        <v>141</v>
      </c>
      <c r="K461">
        <v>6</v>
      </c>
      <c r="L461" t="s">
        <v>38</v>
      </c>
      <c r="M461" t="s">
        <v>22</v>
      </c>
      <c r="N461" t="s">
        <v>84</v>
      </c>
    </row>
    <row r="462" spans="1:14" x14ac:dyDescent="0.3">
      <c r="A462" t="s">
        <v>275</v>
      </c>
      <c r="B462" t="s">
        <v>114</v>
      </c>
      <c r="C462" t="s">
        <v>115</v>
      </c>
      <c r="D462" t="s">
        <v>44</v>
      </c>
      <c r="E462" t="s">
        <v>495</v>
      </c>
      <c r="F462" t="s">
        <v>128</v>
      </c>
      <c r="G462">
        <v>7000</v>
      </c>
      <c r="H462" s="1">
        <v>45274</v>
      </c>
      <c r="I462">
        <v>2023</v>
      </c>
      <c r="J462" t="s">
        <v>99</v>
      </c>
      <c r="K462">
        <v>12</v>
      </c>
      <c r="L462" t="s">
        <v>21</v>
      </c>
      <c r="M462" t="s">
        <v>22</v>
      </c>
      <c r="N462" t="s">
        <v>47</v>
      </c>
    </row>
    <row r="463" spans="1:14" x14ac:dyDescent="0.3">
      <c r="A463" t="s">
        <v>412</v>
      </c>
      <c r="B463" t="s">
        <v>15</v>
      </c>
      <c r="C463" t="s">
        <v>110</v>
      </c>
      <c r="D463" t="s">
        <v>70</v>
      </c>
      <c r="E463" t="s">
        <v>63</v>
      </c>
      <c r="F463" t="s">
        <v>19</v>
      </c>
      <c r="G463">
        <v>548000</v>
      </c>
      <c r="H463" s="1">
        <v>45229</v>
      </c>
      <c r="I463">
        <v>2023</v>
      </c>
      <c r="J463" t="s">
        <v>89</v>
      </c>
      <c r="K463">
        <v>10</v>
      </c>
      <c r="L463" t="s">
        <v>21</v>
      </c>
      <c r="M463" t="s">
        <v>22</v>
      </c>
      <c r="N463" t="s">
        <v>23</v>
      </c>
    </row>
    <row r="464" spans="1:14" x14ac:dyDescent="0.3">
      <c r="A464" t="s">
        <v>370</v>
      </c>
      <c r="B464" t="s">
        <v>25</v>
      </c>
      <c r="C464" t="s">
        <v>26</v>
      </c>
      <c r="D464" t="s">
        <v>17</v>
      </c>
      <c r="E464" t="s">
        <v>192</v>
      </c>
      <c r="F464" t="s">
        <v>56</v>
      </c>
      <c r="G464">
        <v>557000</v>
      </c>
      <c r="H464" s="1">
        <v>44708</v>
      </c>
      <c r="I464">
        <v>2022</v>
      </c>
      <c r="J464" t="s">
        <v>77</v>
      </c>
      <c r="K464">
        <v>5</v>
      </c>
      <c r="L464" t="s">
        <v>38</v>
      </c>
      <c r="M464" t="s">
        <v>22</v>
      </c>
      <c r="N464" t="s">
        <v>31</v>
      </c>
    </row>
    <row r="465" spans="1:14" x14ac:dyDescent="0.3">
      <c r="A465" t="s">
        <v>259</v>
      </c>
      <c r="B465" t="s">
        <v>114</v>
      </c>
      <c r="C465" t="s">
        <v>115</v>
      </c>
      <c r="D465" t="s">
        <v>27</v>
      </c>
      <c r="E465" t="s">
        <v>121</v>
      </c>
      <c r="F465" t="s">
        <v>19</v>
      </c>
      <c r="G465">
        <v>430000</v>
      </c>
      <c r="H465" s="1">
        <v>45284</v>
      </c>
      <c r="I465">
        <v>2023</v>
      </c>
      <c r="J465" t="s">
        <v>99</v>
      </c>
      <c r="K465">
        <v>12</v>
      </c>
      <c r="L465" t="s">
        <v>21</v>
      </c>
      <c r="M465" t="s">
        <v>22</v>
      </c>
      <c r="N465" t="s">
        <v>47</v>
      </c>
    </row>
    <row r="466" spans="1:14" x14ac:dyDescent="0.3">
      <c r="A466" t="s">
        <v>332</v>
      </c>
      <c r="B466" t="s">
        <v>59</v>
      </c>
      <c r="C466" t="s">
        <v>60</v>
      </c>
      <c r="D466" t="s">
        <v>75</v>
      </c>
      <c r="E466" t="s">
        <v>417</v>
      </c>
      <c r="F466" t="s">
        <v>175</v>
      </c>
      <c r="G466">
        <v>458292000</v>
      </c>
      <c r="H466" s="1">
        <v>44447</v>
      </c>
      <c r="I466">
        <v>2021</v>
      </c>
      <c r="J466" t="s">
        <v>46</v>
      </c>
      <c r="K466">
        <v>9</v>
      </c>
      <c r="L466" t="s">
        <v>65</v>
      </c>
      <c r="M466" t="s">
        <v>66</v>
      </c>
      <c r="N466" t="s">
        <v>31</v>
      </c>
    </row>
    <row r="467" spans="1:14" x14ac:dyDescent="0.3">
      <c r="A467" t="s">
        <v>24</v>
      </c>
      <c r="B467" t="s">
        <v>59</v>
      </c>
      <c r="C467" t="s">
        <v>60</v>
      </c>
      <c r="D467" t="s">
        <v>96</v>
      </c>
      <c r="E467" t="s">
        <v>91</v>
      </c>
      <c r="F467" t="s">
        <v>103</v>
      </c>
      <c r="G467">
        <v>2760000</v>
      </c>
      <c r="H467" s="1">
        <v>45790</v>
      </c>
      <c r="I467">
        <v>2025</v>
      </c>
      <c r="J467" t="s">
        <v>77</v>
      </c>
      <c r="K467">
        <v>5</v>
      </c>
      <c r="L467" t="s">
        <v>38</v>
      </c>
      <c r="M467" t="s">
        <v>30</v>
      </c>
      <c r="N467" t="s">
        <v>31</v>
      </c>
    </row>
    <row r="468" spans="1:14" x14ac:dyDescent="0.3">
      <c r="A468" t="s">
        <v>93</v>
      </c>
      <c r="B468" t="s">
        <v>105</v>
      </c>
      <c r="C468" t="s">
        <v>119</v>
      </c>
      <c r="D468" t="s">
        <v>111</v>
      </c>
      <c r="E468" t="s">
        <v>18</v>
      </c>
      <c r="F468" t="s">
        <v>103</v>
      </c>
      <c r="G468">
        <v>2168000</v>
      </c>
      <c r="H468" s="1">
        <v>44019</v>
      </c>
      <c r="I468">
        <v>2020</v>
      </c>
      <c r="J468" t="s">
        <v>57</v>
      </c>
      <c r="K468">
        <v>7</v>
      </c>
      <c r="L468" t="s">
        <v>38</v>
      </c>
      <c r="M468" t="s">
        <v>30</v>
      </c>
      <c r="N468" t="s">
        <v>23</v>
      </c>
    </row>
    <row r="469" spans="1:14" x14ac:dyDescent="0.3">
      <c r="A469" t="s">
        <v>427</v>
      </c>
      <c r="B469" t="s">
        <v>49</v>
      </c>
      <c r="C469" t="s">
        <v>225</v>
      </c>
      <c r="D469" t="s">
        <v>96</v>
      </c>
      <c r="E469" t="s">
        <v>306</v>
      </c>
      <c r="F469" t="s">
        <v>56</v>
      </c>
      <c r="G469">
        <v>739000</v>
      </c>
      <c r="H469" s="1">
        <v>44278</v>
      </c>
      <c r="I469">
        <v>2021</v>
      </c>
      <c r="J469" t="s">
        <v>37</v>
      </c>
      <c r="K469">
        <v>3</v>
      </c>
      <c r="L469" t="s">
        <v>38</v>
      </c>
      <c r="M469" t="s">
        <v>22</v>
      </c>
      <c r="N469" t="s">
        <v>40</v>
      </c>
    </row>
    <row r="470" spans="1:14" x14ac:dyDescent="0.3">
      <c r="A470" t="s">
        <v>466</v>
      </c>
      <c r="B470" t="s">
        <v>86</v>
      </c>
      <c r="C470" t="s">
        <v>339</v>
      </c>
      <c r="D470" t="s">
        <v>44</v>
      </c>
      <c r="E470" t="s">
        <v>365</v>
      </c>
      <c r="F470" t="s">
        <v>128</v>
      </c>
      <c r="G470">
        <v>10000</v>
      </c>
      <c r="H470" s="1">
        <v>45087</v>
      </c>
      <c r="I470">
        <v>2023</v>
      </c>
      <c r="J470" t="s">
        <v>141</v>
      </c>
      <c r="K470">
        <v>6</v>
      </c>
      <c r="L470" t="s">
        <v>21</v>
      </c>
      <c r="M470" t="s">
        <v>22</v>
      </c>
      <c r="N470" t="s">
        <v>47</v>
      </c>
    </row>
    <row r="471" spans="1:14" x14ac:dyDescent="0.3">
      <c r="A471" t="s">
        <v>332</v>
      </c>
      <c r="B471" t="s">
        <v>59</v>
      </c>
      <c r="C471" t="s">
        <v>123</v>
      </c>
      <c r="D471" t="s">
        <v>136</v>
      </c>
      <c r="E471" t="s">
        <v>157</v>
      </c>
      <c r="F471" t="s">
        <v>19</v>
      </c>
      <c r="G471">
        <v>1746000</v>
      </c>
      <c r="H471" s="1">
        <v>45313</v>
      </c>
      <c r="I471">
        <v>2024</v>
      </c>
      <c r="J471" t="s">
        <v>29</v>
      </c>
      <c r="K471">
        <v>1</v>
      </c>
      <c r="L471" t="s">
        <v>21</v>
      </c>
      <c r="M471" t="s">
        <v>30</v>
      </c>
      <c r="N471" t="s">
        <v>31</v>
      </c>
    </row>
    <row r="472" spans="1:14" x14ac:dyDescent="0.3">
      <c r="A472" t="s">
        <v>468</v>
      </c>
      <c r="B472" t="s">
        <v>32</v>
      </c>
      <c r="C472" t="s">
        <v>138</v>
      </c>
      <c r="D472" t="s">
        <v>70</v>
      </c>
      <c r="E472" t="s">
        <v>496</v>
      </c>
      <c r="F472" t="s">
        <v>117</v>
      </c>
      <c r="G472">
        <v>21000</v>
      </c>
      <c r="H472" s="1">
        <v>45670</v>
      </c>
      <c r="I472">
        <v>2025</v>
      </c>
      <c r="J472" t="s">
        <v>29</v>
      </c>
      <c r="K472">
        <v>1</v>
      </c>
      <c r="L472" t="s">
        <v>21</v>
      </c>
      <c r="M472" t="s">
        <v>22</v>
      </c>
      <c r="N472" t="s">
        <v>40</v>
      </c>
    </row>
    <row r="473" spans="1:14" x14ac:dyDescent="0.3">
      <c r="A473" t="s">
        <v>220</v>
      </c>
      <c r="B473" t="s">
        <v>59</v>
      </c>
      <c r="C473" t="s">
        <v>60</v>
      </c>
      <c r="D473" t="s">
        <v>111</v>
      </c>
      <c r="E473" t="s">
        <v>315</v>
      </c>
      <c r="F473" t="s">
        <v>117</v>
      </c>
      <c r="G473">
        <v>187000</v>
      </c>
      <c r="H473" s="1">
        <v>43965</v>
      </c>
      <c r="I473">
        <v>2020</v>
      </c>
      <c r="J473" t="s">
        <v>77</v>
      </c>
      <c r="K473">
        <v>5</v>
      </c>
      <c r="L473" t="s">
        <v>21</v>
      </c>
      <c r="M473" t="s">
        <v>22</v>
      </c>
      <c r="N473" t="s">
        <v>31</v>
      </c>
    </row>
    <row r="474" spans="1:14" x14ac:dyDescent="0.3">
      <c r="A474" t="s">
        <v>427</v>
      </c>
      <c r="B474" t="s">
        <v>114</v>
      </c>
      <c r="C474" t="s">
        <v>243</v>
      </c>
      <c r="D474" t="s">
        <v>136</v>
      </c>
      <c r="E474" t="s">
        <v>497</v>
      </c>
      <c r="F474" t="s">
        <v>175</v>
      </c>
      <c r="G474">
        <v>55224000</v>
      </c>
      <c r="H474" s="1">
        <v>44252</v>
      </c>
      <c r="I474">
        <v>2021</v>
      </c>
      <c r="J474" t="s">
        <v>108</v>
      </c>
      <c r="K474">
        <v>2</v>
      </c>
      <c r="L474" t="s">
        <v>65</v>
      </c>
      <c r="M474" t="s">
        <v>39</v>
      </c>
      <c r="N474" t="s">
        <v>47</v>
      </c>
    </row>
    <row r="475" spans="1:14" x14ac:dyDescent="0.3">
      <c r="A475" t="s">
        <v>455</v>
      </c>
      <c r="B475" t="s">
        <v>186</v>
      </c>
      <c r="C475" t="s">
        <v>127</v>
      </c>
      <c r="D475" t="s">
        <v>27</v>
      </c>
      <c r="E475" t="s">
        <v>112</v>
      </c>
      <c r="F475" t="s">
        <v>103</v>
      </c>
      <c r="G475">
        <v>11170000</v>
      </c>
      <c r="H475" s="1">
        <v>44510</v>
      </c>
      <c r="I475">
        <v>2021</v>
      </c>
      <c r="J475" t="s">
        <v>72</v>
      </c>
      <c r="K475">
        <v>11</v>
      </c>
      <c r="L475" t="s">
        <v>38</v>
      </c>
      <c r="M475" t="s">
        <v>39</v>
      </c>
      <c r="N475" t="s">
        <v>31</v>
      </c>
    </row>
    <row r="476" spans="1:14" x14ac:dyDescent="0.3">
      <c r="A476" t="s">
        <v>48</v>
      </c>
      <c r="B476" t="s">
        <v>105</v>
      </c>
      <c r="C476" t="s">
        <v>106</v>
      </c>
      <c r="D476" t="s">
        <v>111</v>
      </c>
      <c r="E476" t="s">
        <v>369</v>
      </c>
      <c r="F476" t="s">
        <v>19</v>
      </c>
      <c r="G476">
        <v>350000</v>
      </c>
      <c r="H476" s="1">
        <v>45513</v>
      </c>
      <c r="I476">
        <v>2024</v>
      </c>
      <c r="J476" t="s">
        <v>153</v>
      </c>
      <c r="K476">
        <v>8</v>
      </c>
      <c r="L476" t="s">
        <v>21</v>
      </c>
      <c r="M476" t="s">
        <v>22</v>
      </c>
      <c r="N476" t="s">
        <v>23</v>
      </c>
    </row>
    <row r="477" spans="1:14" x14ac:dyDescent="0.3">
      <c r="A477" t="s">
        <v>125</v>
      </c>
      <c r="B477" t="s">
        <v>68</v>
      </c>
      <c r="C477" t="s">
        <v>69</v>
      </c>
      <c r="D477" t="s">
        <v>136</v>
      </c>
      <c r="E477" t="s">
        <v>498</v>
      </c>
      <c r="F477" t="s">
        <v>103</v>
      </c>
      <c r="G477">
        <v>14717000</v>
      </c>
      <c r="H477" s="1">
        <v>43865</v>
      </c>
      <c r="I477">
        <v>2020</v>
      </c>
      <c r="J477" t="s">
        <v>108</v>
      </c>
      <c r="K477">
        <v>2</v>
      </c>
      <c r="L477" t="s">
        <v>38</v>
      </c>
      <c r="M477" t="s">
        <v>39</v>
      </c>
      <c r="N477" t="s">
        <v>31</v>
      </c>
    </row>
    <row r="478" spans="1:14" x14ac:dyDescent="0.3">
      <c r="A478" t="s">
        <v>413</v>
      </c>
      <c r="B478" t="s">
        <v>59</v>
      </c>
      <c r="C478" t="s">
        <v>60</v>
      </c>
      <c r="D478" t="s">
        <v>75</v>
      </c>
      <c r="E478" t="s">
        <v>97</v>
      </c>
      <c r="F478" t="s">
        <v>117</v>
      </c>
      <c r="G478">
        <v>24000</v>
      </c>
      <c r="H478" s="1">
        <v>45568</v>
      </c>
      <c r="I478">
        <v>2024</v>
      </c>
      <c r="J478" t="s">
        <v>89</v>
      </c>
      <c r="K478">
        <v>10</v>
      </c>
      <c r="L478" t="s">
        <v>21</v>
      </c>
      <c r="M478" t="s">
        <v>22</v>
      </c>
      <c r="N478" t="s">
        <v>31</v>
      </c>
    </row>
    <row r="479" spans="1:14" x14ac:dyDescent="0.3">
      <c r="A479" t="s">
        <v>261</v>
      </c>
      <c r="B479" t="s">
        <v>59</v>
      </c>
      <c r="C479" t="s">
        <v>60</v>
      </c>
      <c r="D479" t="s">
        <v>34</v>
      </c>
      <c r="E479" t="s">
        <v>133</v>
      </c>
      <c r="F479" t="s">
        <v>103</v>
      </c>
      <c r="G479">
        <v>4481000</v>
      </c>
      <c r="H479" s="1">
        <v>44407</v>
      </c>
      <c r="I479">
        <v>2021</v>
      </c>
      <c r="J479" t="s">
        <v>57</v>
      </c>
      <c r="K479">
        <v>7</v>
      </c>
      <c r="L479" t="s">
        <v>38</v>
      </c>
      <c r="M479" t="s">
        <v>30</v>
      </c>
      <c r="N479" t="s">
        <v>31</v>
      </c>
    </row>
    <row r="480" spans="1:14" x14ac:dyDescent="0.3">
      <c r="A480" t="s">
        <v>481</v>
      </c>
      <c r="B480" t="s">
        <v>42</v>
      </c>
      <c r="C480" t="s">
        <v>182</v>
      </c>
      <c r="D480" t="s">
        <v>111</v>
      </c>
      <c r="E480" t="s">
        <v>499</v>
      </c>
      <c r="F480" t="s">
        <v>19</v>
      </c>
      <c r="G480">
        <v>1786000</v>
      </c>
      <c r="H480" s="1">
        <v>45360</v>
      </c>
      <c r="I480">
        <v>2024</v>
      </c>
      <c r="J480" t="s">
        <v>37</v>
      </c>
      <c r="K480">
        <v>3</v>
      </c>
      <c r="L480" t="s">
        <v>21</v>
      </c>
      <c r="M480" t="s">
        <v>30</v>
      </c>
      <c r="N480" t="s">
        <v>47</v>
      </c>
    </row>
    <row r="481" spans="1:14" x14ac:dyDescent="0.3">
      <c r="A481" t="s">
        <v>430</v>
      </c>
      <c r="B481" t="s">
        <v>49</v>
      </c>
      <c r="C481" t="s">
        <v>135</v>
      </c>
      <c r="D481" t="s">
        <v>34</v>
      </c>
      <c r="E481" t="s">
        <v>500</v>
      </c>
      <c r="F481" t="s">
        <v>36</v>
      </c>
      <c r="G481">
        <v>21323000</v>
      </c>
      <c r="H481" s="1">
        <v>45703</v>
      </c>
      <c r="I481">
        <v>2025</v>
      </c>
      <c r="J481" t="s">
        <v>108</v>
      </c>
      <c r="K481">
        <v>2</v>
      </c>
      <c r="L481" t="s">
        <v>38</v>
      </c>
      <c r="M481" t="s">
        <v>39</v>
      </c>
      <c r="N481" t="s">
        <v>40</v>
      </c>
    </row>
    <row r="482" spans="1:14" x14ac:dyDescent="0.3">
      <c r="A482" t="s">
        <v>442</v>
      </c>
      <c r="B482" t="s">
        <v>81</v>
      </c>
      <c r="C482" t="s">
        <v>82</v>
      </c>
      <c r="D482" t="s">
        <v>75</v>
      </c>
      <c r="E482" t="s">
        <v>200</v>
      </c>
      <c r="F482" t="s">
        <v>56</v>
      </c>
      <c r="G482">
        <v>426000</v>
      </c>
      <c r="H482" s="1">
        <v>44952</v>
      </c>
      <c r="I482">
        <v>2023</v>
      </c>
      <c r="J482" t="s">
        <v>29</v>
      </c>
      <c r="K482">
        <v>1</v>
      </c>
      <c r="L482" t="s">
        <v>38</v>
      </c>
      <c r="M482" t="s">
        <v>22</v>
      </c>
      <c r="N482" t="s">
        <v>84</v>
      </c>
    </row>
    <row r="483" spans="1:14" x14ac:dyDescent="0.3">
      <c r="A483" t="s">
        <v>379</v>
      </c>
      <c r="B483" t="s">
        <v>49</v>
      </c>
      <c r="C483" t="s">
        <v>50</v>
      </c>
      <c r="D483" t="s">
        <v>54</v>
      </c>
      <c r="E483" t="s">
        <v>489</v>
      </c>
      <c r="F483" t="s">
        <v>19</v>
      </c>
      <c r="G483">
        <v>651000</v>
      </c>
      <c r="H483" s="1">
        <v>44283</v>
      </c>
      <c r="I483">
        <v>2021</v>
      </c>
      <c r="J483" t="s">
        <v>37</v>
      </c>
      <c r="K483">
        <v>3</v>
      </c>
      <c r="L483" t="s">
        <v>21</v>
      </c>
      <c r="M483" t="s">
        <v>22</v>
      </c>
      <c r="N483" t="s">
        <v>40</v>
      </c>
    </row>
    <row r="484" spans="1:14" x14ac:dyDescent="0.3">
      <c r="A484" t="s">
        <v>287</v>
      </c>
      <c r="B484" t="s">
        <v>126</v>
      </c>
      <c r="C484" t="s">
        <v>159</v>
      </c>
      <c r="D484" t="s">
        <v>111</v>
      </c>
      <c r="E484" t="s">
        <v>200</v>
      </c>
      <c r="F484" t="s">
        <v>103</v>
      </c>
      <c r="G484">
        <v>3424000</v>
      </c>
      <c r="H484" s="1">
        <v>44956</v>
      </c>
      <c r="I484">
        <v>2023</v>
      </c>
      <c r="J484" t="s">
        <v>29</v>
      </c>
      <c r="K484">
        <v>1</v>
      </c>
      <c r="L484" t="s">
        <v>38</v>
      </c>
      <c r="M484" t="s">
        <v>30</v>
      </c>
      <c r="N484" t="s">
        <v>40</v>
      </c>
    </row>
    <row r="485" spans="1:14" x14ac:dyDescent="0.3">
      <c r="A485" t="s">
        <v>241</v>
      </c>
      <c r="B485" t="s">
        <v>94</v>
      </c>
      <c r="C485" t="s">
        <v>95</v>
      </c>
      <c r="D485" t="s">
        <v>44</v>
      </c>
      <c r="E485" t="s">
        <v>97</v>
      </c>
      <c r="F485" t="s">
        <v>36</v>
      </c>
      <c r="G485">
        <v>28486000</v>
      </c>
      <c r="H485" s="1">
        <v>44828</v>
      </c>
      <c r="I485">
        <v>2022</v>
      </c>
      <c r="J485" t="s">
        <v>46</v>
      </c>
      <c r="K485">
        <v>9</v>
      </c>
      <c r="L485" t="s">
        <v>38</v>
      </c>
      <c r="M485" t="s">
        <v>39</v>
      </c>
      <c r="N485" t="s">
        <v>40</v>
      </c>
    </row>
    <row r="486" spans="1:14" x14ac:dyDescent="0.3">
      <c r="A486" t="s">
        <v>62</v>
      </c>
      <c r="B486" t="s">
        <v>126</v>
      </c>
      <c r="C486" t="s">
        <v>159</v>
      </c>
      <c r="D486" t="s">
        <v>44</v>
      </c>
      <c r="E486" t="s">
        <v>116</v>
      </c>
      <c r="F486" t="s">
        <v>19</v>
      </c>
      <c r="G486">
        <v>432000</v>
      </c>
      <c r="H486" s="1">
        <v>44753</v>
      </c>
      <c r="I486">
        <v>2022</v>
      </c>
      <c r="J486" t="s">
        <v>57</v>
      </c>
      <c r="K486">
        <v>7</v>
      </c>
      <c r="L486" t="s">
        <v>21</v>
      </c>
      <c r="M486" t="s">
        <v>22</v>
      </c>
      <c r="N486" t="s">
        <v>40</v>
      </c>
    </row>
    <row r="487" spans="1:14" x14ac:dyDescent="0.3">
      <c r="A487" t="s">
        <v>467</v>
      </c>
      <c r="B487" t="s">
        <v>25</v>
      </c>
      <c r="C487" t="s">
        <v>26</v>
      </c>
      <c r="D487" t="s">
        <v>54</v>
      </c>
      <c r="E487" t="s">
        <v>234</v>
      </c>
      <c r="F487" t="s">
        <v>103</v>
      </c>
      <c r="G487">
        <v>11477000</v>
      </c>
      <c r="H487" s="1">
        <v>44577</v>
      </c>
      <c r="I487">
        <v>2022</v>
      </c>
      <c r="J487" t="s">
        <v>29</v>
      </c>
      <c r="K487">
        <v>1</v>
      </c>
      <c r="L487" t="s">
        <v>38</v>
      </c>
      <c r="M487" t="s">
        <v>39</v>
      </c>
      <c r="N487" t="s">
        <v>31</v>
      </c>
    </row>
    <row r="488" spans="1:14" x14ac:dyDescent="0.3">
      <c r="A488" t="s">
        <v>296</v>
      </c>
      <c r="B488" t="s">
        <v>81</v>
      </c>
      <c r="C488" t="s">
        <v>319</v>
      </c>
      <c r="D488" t="s">
        <v>44</v>
      </c>
      <c r="E488" t="s">
        <v>501</v>
      </c>
      <c r="F488" t="s">
        <v>132</v>
      </c>
      <c r="G488">
        <v>22619000</v>
      </c>
      <c r="H488" s="1">
        <v>45289</v>
      </c>
      <c r="I488">
        <v>2023</v>
      </c>
      <c r="J488" t="s">
        <v>99</v>
      </c>
      <c r="K488">
        <v>12</v>
      </c>
      <c r="L488" t="s">
        <v>65</v>
      </c>
      <c r="M488" t="s">
        <v>39</v>
      </c>
      <c r="N488" t="s">
        <v>84</v>
      </c>
    </row>
    <row r="489" spans="1:14" x14ac:dyDescent="0.3">
      <c r="A489" t="s">
        <v>282</v>
      </c>
      <c r="B489" t="s">
        <v>42</v>
      </c>
      <c r="C489" t="s">
        <v>43</v>
      </c>
      <c r="D489" t="s">
        <v>96</v>
      </c>
      <c r="E489" t="s">
        <v>502</v>
      </c>
      <c r="F489" t="s">
        <v>132</v>
      </c>
      <c r="G489">
        <v>42802000</v>
      </c>
      <c r="H489" s="1">
        <v>44828</v>
      </c>
      <c r="I489">
        <v>2022</v>
      </c>
      <c r="J489" t="s">
        <v>46</v>
      </c>
      <c r="K489">
        <v>9</v>
      </c>
      <c r="L489" t="s">
        <v>65</v>
      </c>
      <c r="M489" t="s">
        <v>39</v>
      </c>
      <c r="N489" t="s">
        <v>47</v>
      </c>
    </row>
    <row r="490" spans="1:14" x14ac:dyDescent="0.3">
      <c r="A490" t="s">
        <v>309</v>
      </c>
      <c r="B490" t="s">
        <v>114</v>
      </c>
      <c r="C490" t="s">
        <v>156</v>
      </c>
      <c r="D490" t="s">
        <v>111</v>
      </c>
      <c r="E490" t="s">
        <v>503</v>
      </c>
      <c r="F490" t="s">
        <v>19</v>
      </c>
      <c r="G490">
        <v>1666000</v>
      </c>
      <c r="H490" s="1">
        <v>45333</v>
      </c>
      <c r="I490">
        <v>2024</v>
      </c>
      <c r="J490" t="s">
        <v>108</v>
      </c>
      <c r="K490">
        <v>2</v>
      </c>
      <c r="L490" t="s">
        <v>21</v>
      </c>
      <c r="M490" t="s">
        <v>30</v>
      </c>
      <c r="N490" t="s">
        <v>47</v>
      </c>
    </row>
    <row r="491" spans="1:14" x14ac:dyDescent="0.3">
      <c r="A491" t="s">
        <v>93</v>
      </c>
      <c r="B491" t="s">
        <v>49</v>
      </c>
      <c r="C491" t="s">
        <v>135</v>
      </c>
      <c r="D491" t="s">
        <v>75</v>
      </c>
      <c r="E491" t="s">
        <v>475</v>
      </c>
      <c r="F491" t="s">
        <v>103</v>
      </c>
      <c r="G491">
        <v>11144000</v>
      </c>
      <c r="H491" s="1">
        <v>45406</v>
      </c>
      <c r="I491">
        <v>2024</v>
      </c>
      <c r="J491" t="s">
        <v>20</v>
      </c>
      <c r="K491">
        <v>4</v>
      </c>
      <c r="L491" t="s">
        <v>38</v>
      </c>
      <c r="M491" t="s">
        <v>39</v>
      </c>
      <c r="N491" t="s">
        <v>40</v>
      </c>
    </row>
    <row r="492" spans="1:14" x14ac:dyDescent="0.3">
      <c r="A492" t="s">
        <v>139</v>
      </c>
      <c r="B492" t="s">
        <v>32</v>
      </c>
      <c r="C492" t="s">
        <v>101</v>
      </c>
      <c r="D492" t="s">
        <v>70</v>
      </c>
      <c r="E492" t="s">
        <v>270</v>
      </c>
      <c r="F492" t="s">
        <v>36</v>
      </c>
      <c r="G492">
        <v>17686000</v>
      </c>
      <c r="H492" s="1">
        <v>44135</v>
      </c>
      <c r="I492">
        <v>2020</v>
      </c>
      <c r="J492" t="s">
        <v>89</v>
      </c>
      <c r="K492">
        <v>10</v>
      </c>
      <c r="L492" t="s">
        <v>38</v>
      </c>
      <c r="M492" t="s">
        <v>39</v>
      </c>
      <c r="N492" t="s">
        <v>40</v>
      </c>
    </row>
    <row r="493" spans="1:14" x14ac:dyDescent="0.3">
      <c r="A493" t="s">
        <v>323</v>
      </c>
      <c r="B493" t="s">
        <v>105</v>
      </c>
      <c r="C493" t="s">
        <v>119</v>
      </c>
      <c r="D493" t="s">
        <v>111</v>
      </c>
      <c r="E493" t="s">
        <v>91</v>
      </c>
      <c r="F493" t="s">
        <v>103</v>
      </c>
      <c r="G493">
        <v>5362000</v>
      </c>
      <c r="H493" s="1">
        <v>44643</v>
      </c>
      <c r="I493">
        <v>2022</v>
      </c>
      <c r="J493" t="s">
        <v>37</v>
      </c>
      <c r="K493">
        <v>3</v>
      </c>
      <c r="L493" t="s">
        <v>38</v>
      </c>
      <c r="M493" t="s">
        <v>30</v>
      </c>
      <c r="N493" t="s">
        <v>23</v>
      </c>
    </row>
    <row r="494" spans="1:14" x14ac:dyDescent="0.3">
      <c r="A494" t="s">
        <v>189</v>
      </c>
      <c r="B494" t="s">
        <v>59</v>
      </c>
      <c r="C494" t="s">
        <v>60</v>
      </c>
      <c r="D494" t="s">
        <v>54</v>
      </c>
      <c r="E494" t="s">
        <v>504</v>
      </c>
      <c r="F494" t="s">
        <v>132</v>
      </c>
      <c r="G494">
        <v>42389000</v>
      </c>
      <c r="H494" s="1">
        <v>44118</v>
      </c>
      <c r="I494">
        <v>2020</v>
      </c>
      <c r="J494" t="s">
        <v>89</v>
      </c>
      <c r="K494">
        <v>10</v>
      </c>
      <c r="L494" t="s">
        <v>65</v>
      </c>
      <c r="M494" t="s">
        <v>39</v>
      </c>
      <c r="N494" t="s">
        <v>31</v>
      </c>
    </row>
    <row r="495" spans="1:14" x14ac:dyDescent="0.3">
      <c r="A495" t="s">
        <v>251</v>
      </c>
      <c r="B495" t="s">
        <v>42</v>
      </c>
      <c r="C495" t="s">
        <v>43</v>
      </c>
      <c r="D495" t="s">
        <v>27</v>
      </c>
      <c r="E495" t="s">
        <v>121</v>
      </c>
      <c r="F495" t="s">
        <v>19</v>
      </c>
      <c r="G495">
        <v>100000</v>
      </c>
      <c r="H495" s="1">
        <v>44829</v>
      </c>
      <c r="I495">
        <v>2022</v>
      </c>
      <c r="J495" t="s">
        <v>46</v>
      </c>
      <c r="K495">
        <v>9</v>
      </c>
      <c r="L495" t="s">
        <v>21</v>
      </c>
      <c r="M495" t="s">
        <v>22</v>
      </c>
      <c r="N495" t="s">
        <v>47</v>
      </c>
    </row>
    <row r="496" spans="1:14" x14ac:dyDescent="0.3">
      <c r="A496" t="s">
        <v>204</v>
      </c>
      <c r="B496" t="s">
        <v>15</v>
      </c>
      <c r="C496" t="s">
        <v>74</v>
      </c>
      <c r="D496" t="s">
        <v>44</v>
      </c>
      <c r="E496" t="s">
        <v>270</v>
      </c>
      <c r="F496" t="s">
        <v>103</v>
      </c>
      <c r="G496">
        <v>3510000</v>
      </c>
      <c r="H496" s="1">
        <v>45451</v>
      </c>
      <c r="I496">
        <v>2024</v>
      </c>
      <c r="J496" t="s">
        <v>141</v>
      </c>
      <c r="K496">
        <v>6</v>
      </c>
      <c r="L496" t="s">
        <v>38</v>
      </c>
      <c r="M496" t="s">
        <v>30</v>
      </c>
      <c r="N496" t="s">
        <v>23</v>
      </c>
    </row>
    <row r="497" spans="1:14" x14ac:dyDescent="0.3">
      <c r="A497" t="s">
        <v>478</v>
      </c>
      <c r="B497" t="s">
        <v>81</v>
      </c>
      <c r="C497" t="s">
        <v>319</v>
      </c>
      <c r="D497" t="s">
        <v>17</v>
      </c>
      <c r="E497" t="s">
        <v>505</v>
      </c>
      <c r="F497" t="s">
        <v>36</v>
      </c>
      <c r="G497">
        <v>13318000</v>
      </c>
      <c r="H497" s="1">
        <v>44898</v>
      </c>
      <c r="I497">
        <v>2022</v>
      </c>
      <c r="J497" t="s">
        <v>99</v>
      </c>
      <c r="K497">
        <v>12</v>
      </c>
      <c r="L497" t="s">
        <v>38</v>
      </c>
      <c r="M497" t="s">
        <v>39</v>
      </c>
      <c r="N497" t="s">
        <v>84</v>
      </c>
    </row>
    <row r="498" spans="1:14" x14ac:dyDescent="0.3">
      <c r="A498" t="s">
        <v>370</v>
      </c>
      <c r="B498" t="s">
        <v>68</v>
      </c>
      <c r="C498" t="s">
        <v>149</v>
      </c>
      <c r="D498" t="s">
        <v>136</v>
      </c>
      <c r="E498" t="s">
        <v>91</v>
      </c>
      <c r="F498" t="s">
        <v>56</v>
      </c>
      <c r="G498">
        <v>383000</v>
      </c>
      <c r="H498" s="1">
        <v>45169</v>
      </c>
      <c r="I498">
        <v>2023</v>
      </c>
      <c r="J498" t="s">
        <v>153</v>
      </c>
      <c r="K498">
        <v>8</v>
      </c>
      <c r="L498" t="s">
        <v>38</v>
      </c>
      <c r="M498" t="s">
        <v>22</v>
      </c>
      <c r="N498" t="s">
        <v>31</v>
      </c>
    </row>
    <row r="499" spans="1:14" x14ac:dyDescent="0.3">
      <c r="A499" t="s">
        <v>193</v>
      </c>
      <c r="B499" t="s">
        <v>15</v>
      </c>
      <c r="C499" t="s">
        <v>53</v>
      </c>
      <c r="D499" t="s">
        <v>96</v>
      </c>
      <c r="E499" t="s">
        <v>506</v>
      </c>
      <c r="F499" t="s">
        <v>132</v>
      </c>
      <c r="G499">
        <v>24686000</v>
      </c>
      <c r="H499" s="1">
        <v>44537</v>
      </c>
      <c r="I499">
        <v>2021</v>
      </c>
      <c r="J499" t="s">
        <v>99</v>
      </c>
      <c r="K499">
        <v>12</v>
      </c>
      <c r="L499" t="s">
        <v>65</v>
      </c>
      <c r="M499" t="s">
        <v>39</v>
      </c>
      <c r="N499" t="s">
        <v>23</v>
      </c>
    </row>
    <row r="500" spans="1:14" x14ac:dyDescent="0.3">
      <c r="A500" t="s">
        <v>507</v>
      </c>
      <c r="B500" t="s">
        <v>105</v>
      </c>
      <c r="C500" t="s">
        <v>119</v>
      </c>
      <c r="D500" t="s">
        <v>54</v>
      </c>
      <c r="E500" t="s">
        <v>508</v>
      </c>
      <c r="F500" t="s">
        <v>19</v>
      </c>
      <c r="G500">
        <v>1820000</v>
      </c>
      <c r="H500" s="1">
        <v>44884</v>
      </c>
      <c r="I500">
        <v>2022</v>
      </c>
      <c r="J500" t="s">
        <v>72</v>
      </c>
      <c r="K500">
        <v>11</v>
      </c>
      <c r="L500" t="s">
        <v>21</v>
      </c>
      <c r="M500" t="s">
        <v>30</v>
      </c>
      <c r="N500" t="s">
        <v>23</v>
      </c>
    </row>
    <row r="501" spans="1:14" x14ac:dyDescent="0.3">
      <c r="A501" t="s">
        <v>14</v>
      </c>
      <c r="B501" t="s">
        <v>49</v>
      </c>
      <c r="C501" t="s">
        <v>135</v>
      </c>
      <c r="D501" t="s">
        <v>136</v>
      </c>
      <c r="E501" t="s">
        <v>226</v>
      </c>
      <c r="F501" t="s">
        <v>132</v>
      </c>
      <c r="G501">
        <v>289004000</v>
      </c>
      <c r="H501" s="1">
        <v>45306</v>
      </c>
      <c r="I501">
        <v>2024</v>
      </c>
      <c r="J501" t="s">
        <v>29</v>
      </c>
      <c r="K501">
        <v>1</v>
      </c>
      <c r="L501" t="s">
        <v>65</v>
      </c>
      <c r="M501" t="s">
        <v>66</v>
      </c>
      <c r="N501" t="s">
        <v>40</v>
      </c>
    </row>
    <row r="502" spans="1:14" x14ac:dyDescent="0.3">
      <c r="A502" t="s">
        <v>480</v>
      </c>
      <c r="B502" t="s">
        <v>126</v>
      </c>
      <c r="C502" t="s">
        <v>159</v>
      </c>
      <c r="D502" t="s">
        <v>136</v>
      </c>
      <c r="E502" t="s">
        <v>192</v>
      </c>
      <c r="F502" t="s">
        <v>117</v>
      </c>
      <c r="G502">
        <v>100000</v>
      </c>
      <c r="H502" s="1">
        <v>43919</v>
      </c>
      <c r="I502">
        <v>2020</v>
      </c>
      <c r="J502" t="s">
        <v>37</v>
      </c>
      <c r="K502">
        <v>3</v>
      </c>
      <c r="L502" t="s">
        <v>21</v>
      </c>
      <c r="M502" t="s">
        <v>22</v>
      </c>
      <c r="N502" t="s">
        <v>40</v>
      </c>
    </row>
    <row r="503" spans="1:14" x14ac:dyDescent="0.3">
      <c r="A503" t="s">
        <v>318</v>
      </c>
      <c r="B503" t="s">
        <v>105</v>
      </c>
      <c r="C503" t="s">
        <v>162</v>
      </c>
      <c r="D503" t="s">
        <v>75</v>
      </c>
      <c r="E503" t="s">
        <v>369</v>
      </c>
      <c r="F503" t="s">
        <v>19</v>
      </c>
      <c r="G503">
        <v>361000</v>
      </c>
      <c r="H503" s="1">
        <v>44171</v>
      </c>
      <c r="I503">
        <v>2020</v>
      </c>
      <c r="J503" t="s">
        <v>99</v>
      </c>
      <c r="K503">
        <v>12</v>
      </c>
      <c r="L503" t="s">
        <v>21</v>
      </c>
      <c r="M503" t="s">
        <v>22</v>
      </c>
      <c r="N503" t="s">
        <v>23</v>
      </c>
    </row>
    <row r="504" spans="1:14" x14ac:dyDescent="0.3">
      <c r="A504" t="s">
        <v>232</v>
      </c>
      <c r="B504" t="s">
        <v>126</v>
      </c>
      <c r="C504" t="s">
        <v>127</v>
      </c>
      <c r="D504" t="s">
        <v>27</v>
      </c>
      <c r="E504" t="s">
        <v>509</v>
      </c>
      <c r="F504" t="s">
        <v>64</v>
      </c>
      <c r="G504">
        <v>113169000</v>
      </c>
      <c r="H504" s="1">
        <v>45321</v>
      </c>
      <c r="I504">
        <v>2024</v>
      </c>
      <c r="J504" t="s">
        <v>29</v>
      </c>
      <c r="K504">
        <v>1</v>
      </c>
      <c r="L504" t="s">
        <v>65</v>
      </c>
      <c r="M504" t="s">
        <v>66</v>
      </c>
      <c r="N504" t="s">
        <v>40</v>
      </c>
    </row>
    <row r="505" spans="1:14" x14ac:dyDescent="0.3">
      <c r="A505" t="s">
        <v>352</v>
      </c>
      <c r="B505" t="s">
        <v>105</v>
      </c>
      <c r="C505" t="s">
        <v>345</v>
      </c>
      <c r="D505" t="s">
        <v>136</v>
      </c>
      <c r="E505" t="s">
        <v>510</v>
      </c>
      <c r="F505" t="s">
        <v>103</v>
      </c>
      <c r="G505">
        <v>9059000</v>
      </c>
      <c r="H505" s="1">
        <v>45458</v>
      </c>
      <c r="I505">
        <v>2024</v>
      </c>
      <c r="J505" t="s">
        <v>141</v>
      </c>
      <c r="K505">
        <v>6</v>
      </c>
      <c r="L505" t="s">
        <v>38</v>
      </c>
      <c r="M505" t="s">
        <v>30</v>
      </c>
      <c r="N505" t="s">
        <v>23</v>
      </c>
    </row>
    <row r="506" spans="1:14" x14ac:dyDescent="0.3">
      <c r="A506" t="s">
        <v>118</v>
      </c>
      <c r="B506" t="s">
        <v>105</v>
      </c>
      <c r="C506" t="s">
        <v>106</v>
      </c>
      <c r="D506" t="s">
        <v>70</v>
      </c>
      <c r="E506" t="s">
        <v>97</v>
      </c>
      <c r="F506" t="s">
        <v>103</v>
      </c>
      <c r="G506">
        <v>6387000</v>
      </c>
      <c r="H506" s="1">
        <v>43971</v>
      </c>
      <c r="I506">
        <v>2020</v>
      </c>
      <c r="J506" t="s">
        <v>77</v>
      </c>
      <c r="K506">
        <v>5</v>
      </c>
      <c r="L506" t="s">
        <v>38</v>
      </c>
      <c r="M506" t="s">
        <v>30</v>
      </c>
      <c r="N506" t="s">
        <v>23</v>
      </c>
    </row>
    <row r="507" spans="1:14" x14ac:dyDescent="0.3">
      <c r="A507" t="s">
        <v>259</v>
      </c>
      <c r="B507" t="s">
        <v>15</v>
      </c>
      <c r="C507" t="s">
        <v>53</v>
      </c>
      <c r="D507" t="s">
        <v>54</v>
      </c>
      <c r="E507" t="s">
        <v>321</v>
      </c>
      <c r="F507" t="s">
        <v>103</v>
      </c>
      <c r="G507">
        <v>1553000</v>
      </c>
      <c r="H507" s="1">
        <v>44194</v>
      </c>
      <c r="I507">
        <v>2020</v>
      </c>
      <c r="J507" t="s">
        <v>99</v>
      </c>
      <c r="K507">
        <v>12</v>
      </c>
      <c r="L507" t="s">
        <v>38</v>
      </c>
      <c r="M507" t="s">
        <v>30</v>
      </c>
      <c r="N507" t="s">
        <v>23</v>
      </c>
    </row>
    <row r="508" spans="1:14" x14ac:dyDescent="0.3">
      <c r="A508" t="s">
        <v>261</v>
      </c>
      <c r="B508" t="s">
        <v>186</v>
      </c>
      <c r="C508" t="s">
        <v>60</v>
      </c>
      <c r="D508" t="s">
        <v>54</v>
      </c>
      <c r="E508" t="s">
        <v>369</v>
      </c>
      <c r="F508" t="s">
        <v>128</v>
      </c>
      <c r="G508">
        <v>77000</v>
      </c>
      <c r="H508" s="1">
        <v>44935</v>
      </c>
      <c r="I508">
        <v>2023</v>
      </c>
      <c r="J508" t="s">
        <v>29</v>
      </c>
      <c r="K508">
        <v>1</v>
      </c>
      <c r="L508" t="s">
        <v>21</v>
      </c>
      <c r="M508" t="s">
        <v>22</v>
      </c>
      <c r="N508" t="s">
        <v>31</v>
      </c>
    </row>
    <row r="509" spans="1:14" x14ac:dyDescent="0.3">
      <c r="A509" t="s">
        <v>408</v>
      </c>
      <c r="B509" t="s">
        <v>32</v>
      </c>
      <c r="C509" t="s">
        <v>138</v>
      </c>
      <c r="D509" t="s">
        <v>96</v>
      </c>
      <c r="E509" t="s">
        <v>511</v>
      </c>
      <c r="F509" t="s">
        <v>64</v>
      </c>
      <c r="G509">
        <v>438231000</v>
      </c>
      <c r="H509" s="1">
        <v>45259</v>
      </c>
      <c r="I509">
        <v>2023</v>
      </c>
      <c r="J509" t="s">
        <v>72</v>
      </c>
      <c r="K509">
        <v>11</v>
      </c>
      <c r="L509" t="s">
        <v>65</v>
      </c>
      <c r="M509" t="s">
        <v>66</v>
      </c>
      <c r="N509" t="s">
        <v>40</v>
      </c>
    </row>
    <row r="510" spans="1:14" x14ac:dyDescent="0.3">
      <c r="A510" t="s">
        <v>239</v>
      </c>
      <c r="B510" t="s">
        <v>68</v>
      </c>
      <c r="C510" t="s">
        <v>69</v>
      </c>
      <c r="D510" t="s">
        <v>75</v>
      </c>
      <c r="E510" t="s">
        <v>512</v>
      </c>
      <c r="F510" t="s">
        <v>132</v>
      </c>
      <c r="G510">
        <v>261867000</v>
      </c>
      <c r="H510" s="1">
        <v>45690</v>
      </c>
      <c r="I510">
        <v>2025</v>
      </c>
      <c r="J510" t="s">
        <v>108</v>
      </c>
      <c r="K510">
        <v>2</v>
      </c>
      <c r="L510" t="s">
        <v>65</v>
      </c>
      <c r="M510" t="s">
        <v>66</v>
      </c>
      <c r="N510" t="s">
        <v>31</v>
      </c>
    </row>
    <row r="511" spans="1:14" x14ac:dyDescent="0.3">
      <c r="A511" t="s">
        <v>274</v>
      </c>
      <c r="B511" t="s">
        <v>114</v>
      </c>
      <c r="C511" t="s">
        <v>156</v>
      </c>
      <c r="D511" t="s">
        <v>34</v>
      </c>
      <c r="E511" t="s">
        <v>253</v>
      </c>
      <c r="F511" t="s">
        <v>103</v>
      </c>
      <c r="G511">
        <v>7137000</v>
      </c>
      <c r="H511" s="1">
        <v>44944</v>
      </c>
      <c r="I511">
        <v>2023</v>
      </c>
      <c r="J511" t="s">
        <v>29</v>
      </c>
      <c r="K511">
        <v>1</v>
      </c>
      <c r="L511" t="s">
        <v>38</v>
      </c>
      <c r="M511" t="s">
        <v>30</v>
      </c>
      <c r="N511" t="s">
        <v>47</v>
      </c>
    </row>
    <row r="512" spans="1:14" x14ac:dyDescent="0.3">
      <c r="A512" t="s">
        <v>507</v>
      </c>
      <c r="B512" t="s">
        <v>186</v>
      </c>
      <c r="C512" t="s">
        <v>149</v>
      </c>
      <c r="D512" t="s">
        <v>27</v>
      </c>
      <c r="E512" t="s">
        <v>513</v>
      </c>
      <c r="F512" t="s">
        <v>56</v>
      </c>
      <c r="G512">
        <v>411000</v>
      </c>
      <c r="H512" s="1">
        <v>44251</v>
      </c>
      <c r="I512">
        <v>2021</v>
      </c>
      <c r="J512" t="s">
        <v>108</v>
      </c>
      <c r="K512">
        <v>2</v>
      </c>
      <c r="L512" t="s">
        <v>38</v>
      </c>
      <c r="M512" t="s">
        <v>22</v>
      </c>
      <c r="N512" t="s">
        <v>31</v>
      </c>
    </row>
    <row r="513" spans="1:14" x14ac:dyDescent="0.3">
      <c r="A513" t="s">
        <v>181</v>
      </c>
      <c r="B513" t="s">
        <v>94</v>
      </c>
      <c r="C513" t="s">
        <v>159</v>
      </c>
      <c r="D513" t="s">
        <v>111</v>
      </c>
      <c r="E513" t="s">
        <v>203</v>
      </c>
      <c r="F513" t="s">
        <v>56</v>
      </c>
      <c r="G513">
        <v>262000</v>
      </c>
      <c r="H513" s="1">
        <v>44579</v>
      </c>
      <c r="I513">
        <v>2022</v>
      </c>
      <c r="J513" t="s">
        <v>29</v>
      </c>
      <c r="K513">
        <v>1</v>
      </c>
      <c r="L513" t="s">
        <v>38</v>
      </c>
      <c r="M513" t="s">
        <v>22</v>
      </c>
      <c r="N513" t="s">
        <v>40</v>
      </c>
    </row>
    <row r="514" spans="1:14" x14ac:dyDescent="0.3">
      <c r="A514" t="s">
        <v>85</v>
      </c>
      <c r="B514" t="s">
        <v>59</v>
      </c>
      <c r="C514" t="s">
        <v>60</v>
      </c>
      <c r="D514" t="s">
        <v>70</v>
      </c>
      <c r="E514" t="s">
        <v>227</v>
      </c>
      <c r="F514" t="s">
        <v>19</v>
      </c>
      <c r="G514">
        <v>1560000</v>
      </c>
      <c r="H514" s="1">
        <v>44976</v>
      </c>
      <c r="I514">
        <v>2023</v>
      </c>
      <c r="J514" t="s">
        <v>108</v>
      </c>
      <c r="K514">
        <v>2</v>
      </c>
      <c r="L514" t="s">
        <v>21</v>
      </c>
      <c r="M514" t="s">
        <v>30</v>
      </c>
      <c r="N514" t="s">
        <v>31</v>
      </c>
    </row>
    <row r="515" spans="1:14" x14ac:dyDescent="0.3">
      <c r="A515" t="s">
        <v>379</v>
      </c>
      <c r="B515" t="s">
        <v>68</v>
      </c>
      <c r="C515" t="s">
        <v>149</v>
      </c>
      <c r="D515" t="s">
        <v>54</v>
      </c>
      <c r="E515" t="s">
        <v>293</v>
      </c>
      <c r="F515" t="s">
        <v>175</v>
      </c>
      <c r="G515">
        <v>367311000</v>
      </c>
      <c r="H515" s="1">
        <v>45181</v>
      </c>
      <c r="I515">
        <v>2023</v>
      </c>
      <c r="J515" t="s">
        <v>46</v>
      </c>
      <c r="K515">
        <v>9</v>
      </c>
      <c r="L515" t="s">
        <v>65</v>
      </c>
      <c r="M515" t="s">
        <v>66</v>
      </c>
      <c r="N515" t="s">
        <v>31</v>
      </c>
    </row>
    <row r="516" spans="1:14" x14ac:dyDescent="0.3">
      <c r="A516" t="s">
        <v>277</v>
      </c>
      <c r="B516" t="s">
        <v>105</v>
      </c>
      <c r="C516" t="s">
        <v>162</v>
      </c>
      <c r="D516" t="s">
        <v>44</v>
      </c>
      <c r="E516" t="s">
        <v>51</v>
      </c>
      <c r="F516" t="s">
        <v>103</v>
      </c>
      <c r="G516">
        <v>1130000</v>
      </c>
      <c r="H516" s="1">
        <v>45440</v>
      </c>
      <c r="I516">
        <v>2024</v>
      </c>
      <c r="J516" t="s">
        <v>77</v>
      </c>
      <c r="K516">
        <v>5</v>
      </c>
      <c r="L516" t="s">
        <v>38</v>
      </c>
      <c r="M516" t="s">
        <v>30</v>
      </c>
      <c r="N516" t="s">
        <v>23</v>
      </c>
    </row>
    <row r="517" spans="1:14" x14ac:dyDescent="0.3">
      <c r="A517" t="s">
        <v>48</v>
      </c>
      <c r="B517" t="s">
        <v>105</v>
      </c>
      <c r="C517" t="s">
        <v>119</v>
      </c>
      <c r="D517" t="s">
        <v>27</v>
      </c>
      <c r="E517" t="s">
        <v>226</v>
      </c>
      <c r="F517" t="s">
        <v>132</v>
      </c>
      <c r="G517">
        <v>21480000</v>
      </c>
      <c r="H517" s="1">
        <v>45517</v>
      </c>
      <c r="I517">
        <v>2024</v>
      </c>
      <c r="J517" t="s">
        <v>153</v>
      </c>
      <c r="K517">
        <v>8</v>
      </c>
      <c r="L517" t="s">
        <v>65</v>
      </c>
      <c r="M517" t="s">
        <v>39</v>
      </c>
      <c r="N517" t="s">
        <v>23</v>
      </c>
    </row>
    <row r="518" spans="1:14" x14ac:dyDescent="0.3">
      <c r="A518" t="s">
        <v>455</v>
      </c>
      <c r="B518" t="s">
        <v>94</v>
      </c>
      <c r="C518" t="s">
        <v>95</v>
      </c>
      <c r="D518" t="s">
        <v>96</v>
      </c>
      <c r="E518" t="s">
        <v>514</v>
      </c>
      <c r="F518" t="s">
        <v>19</v>
      </c>
      <c r="G518">
        <v>200000</v>
      </c>
      <c r="H518" s="1">
        <v>43908</v>
      </c>
      <c r="I518">
        <v>2020</v>
      </c>
      <c r="J518" t="s">
        <v>37</v>
      </c>
      <c r="K518">
        <v>3</v>
      </c>
      <c r="L518" t="s">
        <v>21</v>
      </c>
      <c r="M518" t="s">
        <v>22</v>
      </c>
      <c r="N518" t="s">
        <v>40</v>
      </c>
    </row>
    <row r="519" spans="1:14" x14ac:dyDescent="0.3">
      <c r="A519" t="s">
        <v>151</v>
      </c>
      <c r="B519" t="s">
        <v>126</v>
      </c>
      <c r="C519" t="s">
        <v>159</v>
      </c>
      <c r="D519" t="s">
        <v>54</v>
      </c>
      <c r="E519" t="s">
        <v>18</v>
      </c>
      <c r="F519" t="s">
        <v>36</v>
      </c>
      <c r="G519">
        <v>47312000</v>
      </c>
      <c r="H519" s="1">
        <v>44730</v>
      </c>
      <c r="I519">
        <v>2022</v>
      </c>
      <c r="J519" t="s">
        <v>141</v>
      </c>
      <c r="K519">
        <v>6</v>
      </c>
      <c r="L519" t="s">
        <v>38</v>
      </c>
      <c r="M519" t="s">
        <v>39</v>
      </c>
      <c r="N519" t="s">
        <v>40</v>
      </c>
    </row>
    <row r="520" spans="1:14" x14ac:dyDescent="0.3">
      <c r="A520" t="s">
        <v>151</v>
      </c>
      <c r="B520" t="s">
        <v>59</v>
      </c>
      <c r="C520" t="s">
        <v>60</v>
      </c>
      <c r="D520" t="s">
        <v>111</v>
      </c>
      <c r="E520" t="s">
        <v>515</v>
      </c>
      <c r="F520" t="s">
        <v>103</v>
      </c>
      <c r="G520">
        <v>14492000</v>
      </c>
      <c r="H520" s="1">
        <v>44305</v>
      </c>
      <c r="I520">
        <v>2021</v>
      </c>
      <c r="J520" t="s">
        <v>20</v>
      </c>
      <c r="K520">
        <v>4</v>
      </c>
      <c r="L520" t="s">
        <v>38</v>
      </c>
      <c r="M520" t="s">
        <v>39</v>
      </c>
      <c r="N520" t="s">
        <v>31</v>
      </c>
    </row>
    <row r="521" spans="1:14" x14ac:dyDescent="0.3">
      <c r="A521" t="s">
        <v>189</v>
      </c>
      <c r="B521" t="s">
        <v>105</v>
      </c>
      <c r="C521" t="s">
        <v>162</v>
      </c>
      <c r="D521" t="s">
        <v>34</v>
      </c>
      <c r="E521" t="s">
        <v>516</v>
      </c>
      <c r="F521" t="s">
        <v>132</v>
      </c>
      <c r="G521">
        <v>30056000</v>
      </c>
      <c r="H521" s="1">
        <v>44554</v>
      </c>
      <c r="I521">
        <v>2021</v>
      </c>
      <c r="J521" t="s">
        <v>99</v>
      </c>
      <c r="K521">
        <v>12</v>
      </c>
      <c r="L521" t="s">
        <v>65</v>
      </c>
      <c r="M521" t="s">
        <v>39</v>
      </c>
      <c r="N521" t="s">
        <v>23</v>
      </c>
    </row>
    <row r="522" spans="1:14" x14ac:dyDescent="0.3">
      <c r="A522" t="s">
        <v>241</v>
      </c>
      <c r="B522" t="s">
        <v>186</v>
      </c>
      <c r="C522" t="s">
        <v>149</v>
      </c>
      <c r="D522" t="s">
        <v>34</v>
      </c>
      <c r="E522" t="s">
        <v>517</v>
      </c>
      <c r="F522" t="s">
        <v>36</v>
      </c>
      <c r="G522">
        <v>25964000</v>
      </c>
      <c r="H522" s="1">
        <v>44976</v>
      </c>
      <c r="I522">
        <v>2023</v>
      </c>
      <c r="J522" t="s">
        <v>108</v>
      </c>
      <c r="K522">
        <v>2</v>
      </c>
      <c r="L522" t="s">
        <v>38</v>
      </c>
      <c r="M522" t="s">
        <v>39</v>
      </c>
      <c r="N522" t="s">
        <v>31</v>
      </c>
    </row>
    <row r="523" spans="1:14" x14ac:dyDescent="0.3">
      <c r="A523" t="s">
        <v>201</v>
      </c>
      <c r="B523" t="s">
        <v>15</v>
      </c>
      <c r="C523" t="s">
        <v>53</v>
      </c>
      <c r="D523" t="s">
        <v>136</v>
      </c>
      <c r="E523" t="s">
        <v>270</v>
      </c>
      <c r="F523" t="s">
        <v>103</v>
      </c>
      <c r="G523">
        <v>2805000</v>
      </c>
      <c r="H523" s="1">
        <v>44365</v>
      </c>
      <c r="I523">
        <v>2021</v>
      </c>
      <c r="J523" t="s">
        <v>141</v>
      </c>
      <c r="K523">
        <v>6</v>
      </c>
      <c r="L523" t="s">
        <v>38</v>
      </c>
      <c r="M523" t="s">
        <v>30</v>
      </c>
      <c r="N523" t="s">
        <v>23</v>
      </c>
    </row>
    <row r="524" spans="1:14" x14ac:dyDescent="0.3">
      <c r="A524" t="s">
        <v>52</v>
      </c>
      <c r="B524" t="s">
        <v>32</v>
      </c>
      <c r="C524" t="s">
        <v>138</v>
      </c>
      <c r="D524" t="s">
        <v>96</v>
      </c>
      <c r="E524" t="s">
        <v>518</v>
      </c>
      <c r="F524" t="s">
        <v>188</v>
      </c>
      <c r="G524">
        <v>1790000</v>
      </c>
      <c r="H524" s="1">
        <v>45475</v>
      </c>
      <c r="I524">
        <v>2024</v>
      </c>
      <c r="J524" t="s">
        <v>57</v>
      </c>
      <c r="K524">
        <v>7</v>
      </c>
      <c r="L524" t="s">
        <v>38</v>
      </c>
      <c r="M524" t="s">
        <v>30</v>
      </c>
      <c r="N524" t="s">
        <v>40</v>
      </c>
    </row>
    <row r="525" spans="1:14" x14ac:dyDescent="0.3">
      <c r="A525" t="s">
        <v>275</v>
      </c>
      <c r="B525" t="s">
        <v>68</v>
      </c>
      <c r="C525" t="s">
        <v>149</v>
      </c>
      <c r="D525" t="s">
        <v>70</v>
      </c>
      <c r="E525" t="s">
        <v>234</v>
      </c>
      <c r="F525" t="s">
        <v>132</v>
      </c>
      <c r="G525">
        <v>195631000</v>
      </c>
      <c r="H525" s="1">
        <v>45382</v>
      </c>
      <c r="I525">
        <v>2024</v>
      </c>
      <c r="J525" t="s">
        <v>37</v>
      </c>
      <c r="K525">
        <v>3</v>
      </c>
      <c r="L525" t="s">
        <v>65</v>
      </c>
      <c r="M525" t="s">
        <v>66</v>
      </c>
      <c r="N525" t="s">
        <v>31</v>
      </c>
    </row>
    <row r="526" spans="1:14" x14ac:dyDescent="0.3">
      <c r="A526" t="s">
        <v>372</v>
      </c>
      <c r="B526" t="s">
        <v>126</v>
      </c>
      <c r="C526" t="s">
        <v>159</v>
      </c>
      <c r="D526" t="s">
        <v>70</v>
      </c>
      <c r="E526" t="s">
        <v>519</v>
      </c>
      <c r="F526" t="s">
        <v>19</v>
      </c>
      <c r="G526">
        <v>1102000</v>
      </c>
      <c r="H526" s="1">
        <v>43969</v>
      </c>
      <c r="I526">
        <v>2020</v>
      </c>
      <c r="J526" t="s">
        <v>77</v>
      </c>
      <c r="K526">
        <v>5</v>
      </c>
      <c r="L526" t="s">
        <v>21</v>
      </c>
      <c r="M526" t="s">
        <v>30</v>
      </c>
      <c r="N526" t="s">
        <v>40</v>
      </c>
    </row>
    <row r="527" spans="1:14" x14ac:dyDescent="0.3">
      <c r="A527" t="s">
        <v>134</v>
      </c>
      <c r="B527" t="s">
        <v>68</v>
      </c>
      <c r="C527" t="s">
        <v>69</v>
      </c>
      <c r="D527" t="s">
        <v>111</v>
      </c>
      <c r="E527" t="s">
        <v>217</v>
      </c>
      <c r="F527" t="s">
        <v>103</v>
      </c>
      <c r="G527">
        <v>3558000</v>
      </c>
      <c r="H527" s="1">
        <v>45266</v>
      </c>
      <c r="I527">
        <v>2023</v>
      </c>
      <c r="J527" t="s">
        <v>99</v>
      </c>
      <c r="K527">
        <v>12</v>
      </c>
      <c r="L527" t="s">
        <v>38</v>
      </c>
      <c r="M527" t="s">
        <v>30</v>
      </c>
      <c r="N527" t="s">
        <v>31</v>
      </c>
    </row>
    <row r="528" spans="1:14" x14ac:dyDescent="0.3">
      <c r="A528" t="s">
        <v>155</v>
      </c>
      <c r="B528" t="s">
        <v>68</v>
      </c>
      <c r="C528" t="s">
        <v>149</v>
      </c>
      <c r="D528" t="s">
        <v>96</v>
      </c>
      <c r="E528" t="s">
        <v>226</v>
      </c>
      <c r="F528" t="s">
        <v>19</v>
      </c>
      <c r="G528">
        <v>231000</v>
      </c>
      <c r="H528" s="1">
        <v>45738</v>
      </c>
      <c r="I528">
        <v>2025</v>
      </c>
      <c r="J528" t="s">
        <v>37</v>
      </c>
      <c r="K528">
        <v>3</v>
      </c>
      <c r="L528" t="s">
        <v>21</v>
      </c>
      <c r="M528" t="s">
        <v>22</v>
      </c>
      <c r="N528" t="s">
        <v>31</v>
      </c>
    </row>
    <row r="529" spans="1:14" x14ac:dyDescent="0.3">
      <c r="A529" t="s">
        <v>176</v>
      </c>
      <c r="B529" t="s">
        <v>126</v>
      </c>
      <c r="C529" t="s">
        <v>265</v>
      </c>
      <c r="D529" t="s">
        <v>54</v>
      </c>
      <c r="E529" t="s">
        <v>226</v>
      </c>
      <c r="F529" t="s">
        <v>188</v>
      </c>
      <c r="G529">
        <v>137000</v>
      </c>
      <c r="H529" s="1">
        <v>45230</v>
      </c>
      <c r="I529">
        <v>2023</v>
      </c>
      <c r="J529" t="s">
        <v>89</v>
      </c>
      <c r="K529">
        <v>10</v>
      </c>
      <c r="L529" t="s">
        <v>38</v>
      </c>
      <c r="M529" t="s">
        <v>22</v>
      </c>
      <c r="N529" t="s">
        <v>40</v>
      </c>
    </row>
    <row r="530" spans="1:14" x14ac:dyDescent="0.3">
      <c r="A530" t="s">
        <v>342</v>
      </c>
      <c r="B530" t="s">
        <v>15</v>
      </c>
      <c r="C530" t="s">
        <v>110</v>
      </c>
      <c r="D530" t="s">
        <v>44</v>
      </c>
      <c r="E530" t="s">
        <v>242</v>
      </c>
      <c r="F530" t="s">
        <v>19</v>
      </c>
      <c r="G530">
        <v>62000</v>
      </c>
      <c r="H530" s="1">
        <v>45540</v>
      </c>
      <c r="I530">
        <v>2024</v>
      </c>
      <c r="J530" t="s">
        <v>46</v>
      </c>
      <c r="K530">
        <v>9</v>
      </c>
      <c r="L530" t="s">
        <v>21</v>
      </c>
      <c r="M530" t="s">
        <v>22</v>
      </c>
      <c r="N530" t="s">
        <v>23</v>
      </c>
    </row>
    <row r="531" spans="1:14" x14ac:dyDescent="0.3">
      <c r="A531" t="s">
        <v>446</v>
      </c>
      <c r="B531" t="s">
        <v>105</v>
      </c>
      <c r="C531" t="s">
        <v>162</v>
      </c>
      <c r="D531" t="s">
        <v>17</v>
      </c>
      <c r="E531" t="s">
        <v>520</v>
      </c>
      <c r="F531" t="s">
        <v>128</v>
      </c>
      <c r="G531">
        <v>67000</v>
      </c>
      <c r="H531" s="1">
        <v>45215</v>
      </c>
      <c r="I531">
        <v>2023</v>
      </c>
      <c r="J531" t="s">
        <v>89</v>
      </c>
      <c r="K531">
        <v>10</v>
      </c>
      <c r="L531" t="s">
        <v>21</v>
      </c>
      <c r="M531" t="s">
        <v>22</v>
      </c>
      <c r="N531" t="s">
        <v>23</v>
      </c>
    </row>
    <row r="532" spans="1:14" x14ac:dyDescent="0.3">
      <c r="A532" t="s">
        <v>223</v>
      </c>
      <c r="B532" t="s">
        <v>114</v>
      </c>
      <c r="C532" t="s">
        <v>115</v>
      </c>
      <c r="D532" t="s">
        <v>96</v>
      </c>
      <c r="E532" t="s">
        <v>521</v>
      </c>
      <c r="F532" t="s">
        <v>103</v>
      </c>
      <c r="G532">
        <v>9037000</v>
      </c>
      <c r="H532" s="1">
        <v>44839</v>
      </c>
      <c r="I532">
        <v>2022</v>
      </c>
      <c r="J532" t="s">
        <v>89</v>
      </c>
      <c r="K532">
        <v>10</v>
      </c>
      <c r="L532" t="s">
        <v>38</v>
      </c>
      <c r="M532" t="s">
        <v>30</v>
      </c>
      <c r="N532" t="s">
        <v>47</v>
      </c>
    </row>
    <row r="533" spans="1:14" x14ac:dyDescent="0.3">
      <c r="A533" t="s">
        <v>137</v>
      </c>
      <c r="B533" t="s">
        <v>59</v>
      </c>
      <c r="C533" t="s">
        <v>60</v>
      </c>
      <c r="D533" t="s">
        <v>54</v>
      </c>
      <c r="E533" t="s">
        <v>299</v>
      </c>
      <c r="F533" t="s">
        <v>19</v>
      </c>
      <c r="G533">
        <v>1998000</v>
      </c>
      <c r="H533" s="1">
        <v>45467</v>
      </c>
      <c r="I533">
        <v>2024</v>
      </c>
      <c r="J533" t="s">
        <v>141</v>
      </c>
      <c r="K533">
        <v>6</v>
      </c>
      <c r="L533" t="s">
        <v>21</v>
      </c>
      <c r="M533" t="s">
        <v>30</v>
      </c>
      <c r="N533" t="s">
        <v>31</v>
      </c>
    </row>
    <row r="534" spans="1:14" x14ac:dyDescent="0.3">
      <c r="A534" t="s">
        <v>261</v>
      </c>
      <c r="B534" t="s">
        <v>114</v>
      </c>
      <c r="C534" t="s">
        <v>243</v>
      </c>
      <c r="D534" t="s">
        <v>54</v>
      </c>
      <c r="E534" t="s">
        <v>522</v>
      </c>
      <c r="F534" t="s">
        <v>103</v>
      </c>
      <c r="G534">
        <v>14864000</v>
      </c>
      <c r="H534" s="1">
        <v>44077</v>
      </c>
      <c r="I534">
        <v>2020</v>
      </c>
      <c r="J534" t="s">
        <v>46</v>
      </c>
      <c r="K534">
        <v>9</v>
      </c>
      <c r="L534" t="s">
        <v>38</v>
      </c>
      <c r="M534" t="s">
        <v>39</v>
      </c>
      <c r="N534" t="s">
        <v>47</v>
      </c>
    </row>
    <row r="535" spans="1:14" x14ac:dyDescent="0.3">
      <c r="A535" t="s">
        <v>109</v>
      </c>
      <c r="B535" t="s">
        <v>186</v>
      </c>
      <c r="C535" t="s">
        <v>341</v>
      </c>
      <c r="D535" t="s">
        <v>96</v>
      </c>
      <c r="E535" t="s">
        <v>192</v>
      </c>
      <c r="F535" t="s">
        <v>103</v>
      </c>
      <c r="G535">
        <v>4500000</v>
      </c>
      <c r="H535" s="1">
        <v>44362</v>
      </c>
      <c r="I535">
        <v>2021</v>
      </c>
      <c r="J535" t="s">
        <v>141</v>
      </c>
      <c r="K535">
        <v>6</v>
      </c>
      <c r="L535" t="s">
        <v>38</v>
      </c>
      <c r="M535" t="s">
        <v>30</v>
      </c>
      <c r="N535" t="s">
        <v>31</v>
      </c>
    </row>
    <row r="536" spans="1:14" x14ac:dyDescent="0.3">
      <c r="A536" t="s">
        <v>62</v>
      </c>
      <c r="B536" t="s">
        <v>126</v>
      </c>
      <c r="C536" t="s">
        <v>265</v>
      </c>
      <c r="D536" t="s">
        <v>96</v>
      </c>
      <c r="E536" t="s">
        <v>270</v>
      </c>
      <c r="F536" t="s">
        <v>19</v>
      </c>
      <c r="G536">
        <v>853000</v>
      </c>
      <c r="H536" s="1">
        <v>44699</v>
      </c>
      <c r="I536">
        <v>2022</v>
      </c>
      <c r="J536" t="s">
        <v>77</v>
      </c>
      <c r="K536">
        <v>5</v>
      </c>
      <c r="L536" t="s">
        <v>21</v>
      </c>
      <c r="M536" t="s">
        <v>22</v>
      </c>
      <c r="N536" t="s">
        <v>40</v>
      </c>
    </row>
    <row r="537" spans="1:14" x14ac:dyDescent="0.3">
      <c r="A537" t="s">
        <v>468</v>
      </c>
      <c r="B537" t="s">
        <v>68</v>
      </c>
      <c r="C537" t="s">
        <v>69</v>
      </c>
      <c r="D537" t="s">
        <v>70</v>
      </c>
      <c r="E537" t="s">
        <v>523</v>
      </c>
      <c r="F537" t="s">
        <v>19</v>
      </c>
      <c r="G537">
        <v>1631000</v>
      </c>
      <c r="H537" s="1">
        <v>44099</v>
      </c>
      <c r="I537">
        <v>2020</v>
      </c>
      <c r="J537" t="s">
        <v>46</v>
      </c>
      <c r="K537">
        <v>9</v>
      </c>
      <c r="L537" t="s">
        <v>21</v>
      </c>
      <c r="M537" t="s">
        <v>30</v>
      </c>
      <c r="N537" t="s">
        <v>31</v>
      </c>
    </row>
    <row r="538" spans="1:14" x14ac:dyDescent="0.3">
      <c r="A538" t="s">
        <v>178</v>
      </c>
      <c r="B538" t="s">
        <v>32</v>
      </c>
      <c r="C538" t="s">
        <v>138</v>
      </c>
      <c r="D538" t="s">
        <v>136</v>
      </c>
      <c r="E538" t="s">
        <v>524</v>
      </c>
      <c r="F538" t="s">
        <v>19</v>
      </c>
      <c r="G538">
        <v>1149000</v>
      </c>
      <c r="H538" s="1">
        <v>45469</v>
      </c>
      <c r="I538">
        <v>2024</v>
      </c>
      <c r="J538" t="s">
        <v>141</v>
      </c>
      <c r="K538">
        <v>6</v>
      </c>
      <c r="L538" t="s">
        <v>21</v>
      </c>
      <c r="M538" t="s">
        <v>30</v>
      </c>
      <c r="N538" t="s">
        <v>40</v>
      </c>
    </row>
    <row r="539" spans="1:14" x14ac:dyDescent="0.3">
      <c r="A539" t="s">
        <v>233</v>
      </c>
      <c r="B539" t="s">
        <v>105</v>
      </c>
      <c r="C539" t="s">
        <v>106</v>
      </c>
      <c r="D539" t="s">
        <v>70</v>
      </c>
      <c r="E539" t="s">
        <v>211</v>
      </c>
      <c r="F539" t="s">
        <v>19</v>
      </c>
      <c r="G539">
        <v>125000</v>
      </c>
      <c r="H539" s="1">
        <v>44982</v>
      </c>
      <c r="I539">
        <v>2023</v>
      </c>
      <c r="J539" t="s">
        <v>108</v>
      </c>
      <c r="K539">
        <v>2</v>
      </c>
      <c r="L539" t="s">
        <v>21</v>
      </c>
      <c r="M539" t="s">
        <v>22</v>
      </c>
      <c r="N539" t="s">
        <v>23</v>
      </c>
    </row>
    <row r="540" spans="1:14" x14ac:dyDescent="0.3">
      <c r="A540" t="s">
        <v>318</v>
      </c>
      <c r="B540" t="s">
        <v>81</v>
      </c>
      <c r="C540" t="s">
        <v>130</v>
      </c>
      <c r="D540" t="s">
        <v>34</v>
      </c>
      <c r="E540" t="s">
        <v>183</v>
      </c>
      <c r="F540" t="s">
        <v>103</v>
      </c>
      <c r="G540">
        <v>3388000</v>
      </c>
      <c r="H540" s="1">
        <v>45120</v>
      </c>
      <c r="I540">
        <v>2023</v>
      </c>
      <c r="J540" t="s">
        <v>57</v>
      </c>
      <c r="K540">
        <v>7</v>
      </c>
      <c r="L540" t="s">
        <v>38</v>
      </c>
      <c r="M540" t="s">
        <v>30</v>
      </c>
      <c r="N540" t="s">
        <v>84</v>
      </c>
    </row>
    <row r="541" spans="1:14" x14ac:dyDescent="0.3">
      <c r="A541" t="s">
        <v>354</v>
      </c>
      <c r="B541" t="s">
        <v>86</v>
      </c>
      <c r="C541" t="s">
        <v>228</v>
      </c>
      <c r="D541" t="s">
        <v>96</v>
      </c>
      <c r="E541" t="s">
        <v>28</v>
      </c>
      <c r="F541" t="s">
        <v>117</v>
      </c>
      <c r="G541">
        <v>27000</v>
      </c>
      <c r="H541" s="1">
        <v>44079</v>
      </c>
      <c r="I541">
        <v>2020</v>
      </c>
      <c r="J541" t="s">
        <v>46</v>
      </c>
      <c r="K541">
        <v>9</v>
      </c>
      <c r="L541" t="s">
        <v>21</v>
      </c>
      <c r="M541" t="s">
        <v>22</v>
      </c>
      <c r="N541" t="s">
        <v>47</v>
      </c>
    </row>
    <row r="542" spans="1:14" x14ac:dyDescent="0.3">
      <c r="A542" t="s">
        <v>412</v>
      </c>
      <c r="B542" t="s">
        <v>49</v>
      </c>
      <c r="C542" t="s">
        <v>50</v>
      </c>
      <c r="D542" t="s">
        <v>111</v>
      </c>
      <c r="E542" t="s">
        <v>97</v>
      </c>
      <c r="F542" t="s">
        <v>19</v>
      </c>
      <c r="G542">
        <v>1688000</v>
      </c>
      <c r="H542" s="1">
        <v>45429</v>
      </c>
      <c r="I542">
        <v>2024</v>
      </c>
      <c r="J542" t="s">
        <v>77</v>
      </c>
      <c r="K542">
        <v>5</v>
      </c>
      <c r="L542" t="s">
        <v>21</v>
      </c>
      <c r="M542" t="s">
        <v>30</v>
      </c>
      <c r="N542" t="s">
        <v>40</v>
      </c>
    </row>
    <row r="543" spans="1:14" x14ac:dyDescent="0.3">
      <c r="A543" t="s">
        <v>312</v>
      </c>
      <c r="B543" t="s">
        <v>59</v>
      </c>
      <c r="C543" t="s">
        <v>60</v>
      </c>
      <c r="D543" t="s">
        <v>70</v>
      </c>
      <c r="E543" t="s">
        <v>166</v>
      </c>
      <c r="F543" t="s">
        <v>98</v>
      </c>
      <c r="G543">
        <v>403808000</v>
      </c>
      <c r="H543" s="1">
        <v>44611</v>
      </c>
      <c r="I543">
        <v>2022</v>
      </c>
      <c r="J543" t="s">
        <v>108</v>
      </c>
      <c r="K543">
        <v>2</v>
      </c>
      <c r="L543" t="s">
        <v>65</v>
      </c>
      <c r="M543" t="s">
        <v>66</v>
      </c>
      <c r="N543" t="s">
        <v>31</v>
      </c>
    </row>
    <row r="544" spans="1:14" x14ac:dyDescent="0.3">
      <c r="A544" t="s">
        <v>251</v>
      </c>
      <c r="B544" t="s">
        <v>49</v>
      </c>
      <c r="C544" t="s">
        <v>225</v>
      </c>
      <c r="D544" t="s">
        <v>136</v>
      </c>
      <c r="E544" t="s">
        <v>525</v>
      </c>
      <c r="F544" t="s">
        <v>36</v>
      </c>
      <c r="G544">
        <v>9425000</v>
      </c>
      <c r="H544" s="1">
        <v>45001</v>
      </c>
      <c r="I544">
        <v>2023</v>
      </c>
      <c r="J544" t="s">
        <v>37</v>
      </c>
      <c r="K544">
        <v>3</v>
      </c>
      <c r="L544" t="s">
        <v>38</v>
      </c>
      <c r="M544" t="s">
        <v>30</v>
      </c>
      <c r="N544" t="s">
        <v>40</v>
      </c>
    </row>
    <row r="545" spans="1:14" x14ac:dyDescent="0.3">
      <c r="A545" t="s">
        <v>318</v>
      </c>
      <c r="B545" t="s">
        <v>86</v>
      </c>
      <c r="C545" t="s">
        <v>87</v>
      </c>
      <c r="D545" t="s">
        <v>96</v>
      </c>
      <c r="E545" t="s">
        <v>526</v>
      </c>
      <c r="F545" t="s">
        <v>19</v>
      </c>
      <c r="G545">
        <v>596000</v>
      </c>
      <c r="H545" s="1">
        <v>44427</v>
      </c>
      <c r="I545">
        <v>2021</v>
      </c>
      <c r="J545" t="s">
        <v>153</v>
      </c>
      <c r="K545">
        <v>8</v>
      </c>
      <c r="L545" t="s">
        <v>21</v>
      </c>
      <c r="M545" t="s">
        <v>22</v>
      </c>
      <c r="N545" t="s">
        <v>47</v>
      </c>
    </row>
    <row r="546" spans="1:14" x14ac:dyDescent="0.3">
      <c r="A546" t="s">
        <v>58</v>
      </c>
      <c r="B546" t="s">
        <v>59</v>
      </c>
      <c r="C546" t="s">
        <v>149</v>
      </c>
      <c r="D546" t="s">
        <v>75</v>
      </c>
      <c r="E546" t="s">
        <v>527</v>
      </c>
      <c r="F546" t="s">
        <v>103</v>
      </c>
      <c r="G546">
        <v>5333000</v>
      </c>
      <c r="H546" s="1">
        <v>44753</v>
      </c>
      <c r="I546">
        <v>2022</v>
      </c>
      <c r="J546" t="s">
        <v>57</v>
      </c>
      <c r="K546">
        <v>7</v>
      </c>
      <c r="L546" t="s">
        <v>38</v>
      </c>
      <c r="M546" t="s">
        <v>30</v>
      </c>
      <c r="N546" t="s">
        <v>31</v>
      </c>
    </row>
    <row r="547" spans="1:14" x14ac:dyDescent="0.3">
      <c r="A547" t="s">
        <v>180</v>
      </c>
      <c r="B547" t="s">
        <v>49</v>
      </c>
      <c r="C547" t="s">
        <v>225</v>
      </c>
      <c r="D547" t="s">
        <v>17</v>
      </c>
      <c r="E547" t="s">
        <v>112</v>
      </c>
      <c r="F547" t="s">
        <v>19</v>
      </c>
      <c r="G547">
        <v>187000</v>
      </c>
      <c r="H547" s="1">
        <v>44644</v>
      </c>
      <c r="I547">
        <v>2022</v>
      </c>
      <c r="J547" t="s">
        <v>37</v>
      </c>
      <c r="K547">
        <v>3</v>
      </c>
      <c r="L547" t="s">
        <v>21</v>
      </c>
      <c r="M547" t="s">
        <v>22</v>
      </c>
      <c r="N547" t="s">
        <v>40</v>
      </c>
    </row>
    <row r="548" spans="1:14" x14ac:dyDescent="0.3">
      <c r="A548" t="s">
        <v>41</v>
      </c>
      <c r="B548" t="s">
        <v>81</v>
      </c>
      <c r="C548" t="s">
        <v>90</v>
      </c>
      <c r="D548" t="s">
        <v>111</v>
      </c>
      <c r="E548" t="s">
        <v>217</v>
      </c>
      <c r="F548" t="s">
        <v>132</v>
      </c>
      <c r="G548">
        <v>27201000</v>
      </c>
      <c r="H548" s="1">
        <v>44001</v>
      </c>
      <c r="I548">
        <v>2020</v>
      </c>
      <c r="J548" t="s">
        <v>141</v>
      </c>
      <c r="K548">
        <v>6</v>
      </c>
      <c r="L548" t="s">
        <v>65</v>
      </c>
      <c r="M548" t="s">
        <v>39</v>
      </c>
      <c r="N548" t="s">
        <v>84</v>
      </c>
    </row>
    <row r="549" spans="1:14" x14ac:dyDescent="0.3">
      <c r="A549" t="s">
        <v>73</v>
      </c>
      <c r="B549" t="s">
        <v>68</v>
      </c>
      <c r="C549" t="s">
        <v>69</v>
      </c>
      <c r="D549" t="s">
        <v>44</v>
      </c>
      <c r="E549" t="s">
        <v>528</v>
      </c>
      <c r="F549" t="s">
        <v>19</v>
      </c>
      <c r="G549">
        <v>595000</v>
      </c>
      <c r="H549" s="1">
        <v>44412</v>
      </c>
      <c r="I549">
        <v>2021</v>
      </c>
      <c r="J549" t="s">
        <v>153</v>
      </c>
      <c r="K549">
        <v>8</v>
      </c>
      <c r="L549" t="s">
        <v>21</v>
      </c>
      <c r="M549" t="s">
        <v>22</v>
      </c>
      <c r="N549" t="s">
        <v>31</v>
      </c>
    </row>
    <row r="550" spans="1:14" x14ac:dyDescent="0.3">
      <c r="A550" t="s">
        <v>296</v>
      </c>
      <c r="B550" t="s">
        <v>81</v>
      </c>
      <c r="C550" t="s">
        <v>250</v>
      </c>
      <c r="D550" t="s">
        <v>96</v>
      </c>
      <c r="E550" t="s">
        <v>521</v>
      </c>
      <c r="F550" t="s">
        <v>64</v>
      </c>
      <c r="G550">
        <v>197383000</v>
      </c>
      <c r="H550" s="1">
        <v>44497</v>
      </c>
      <c r="I550">
        <v>2021</v>
      </c>
      <c r="J550" t="s">
        <v>89</v>
      </c>
      <c r="K550">
        <v>10</v>
      </c>
      <c r="L550" t="s">
        <v>65</v>
      </c>
      <c r="M550" t="s">
        <v>66</v>
      </c>
      <c r="N550" t="s">
        <v>84</v>
      </c>
    </row>
    <row r="551" spans="1:14" x14ac:dyDescent="0.3">
      <c r="A551" t="s">
        <v>178</v>
      </c>
      <c r="B551" t="s">
        <v>105</v>
      </c>
      <c r="C551" t="s">
        <v>345</v>
      </c>
      <c r="D551" t="s">
        <v>75</v>
      </c>
      <c r="E551" t="s">
        <v>529</v>
      </c>
      <c r="F551" t="s">
        <v>103</v>
      </c>
      <c r="G551">
        <v>8097000</v>
      </c>
      <c r="H551" s="1">
        <v>45123</v>
      </c>
      <c r="I551">
        <v>2023</v>
      </c>
      <c r="J551" t="s">
        <v>57</v>
      </c>
      <c r="K551">
        <v>7</v>
      </c>
      <c r="L551" t="s">
        <v>38</v>
      </c>
      <c r="M551" t="s">
        <v>30</v>
      </c>
      <c r="N551" t="s">
        <v>23</v>
      </c>
    </row>
    <row r="552" spans="1:14" x14ac:dyDescent="0.3">
      <c r="A552" t="s">
        <v>237</v>
      </c>
      <c r="B552" t="s">
        <v>42</v>
      </c>
      <c r="C552" t="s">
        <v>205</v>
      </c>
      <c r="D552" t="s">
        <v>44</v>
      </c>
      <c r="E552" t="s">
        <v>97</v>
      </c>
      <c r="F552" t="s">
        <v>132</v>
      </c>
      <c r="G552">
        <v>81807000</v>
      </c>
      <c r="H552" s="1">
        <v>44735</v>
      </c>
      <c r="I552">
        <v>2022</v>
      </c>
      <c r="J552" t="s">
        <v>141</v>
      </c>
      <c r="K552">
        <v>6</v>
      </c>
      <c r="L552" t="s">
        <v>65</v>
      </c>
      <c r="M552" t="s">
        <v>39</v>
      </c>
      <c r="N552" t="s">
        <v>47</v>
      </c>
    </row>
    <row r="553" spans="1:14" x14ac:dyDescent="0.3">
      <c r="A553" t="s">
        <v>139</v>
      </c>
      <c r="B553" t="s">
        <v>105</v>
      </c>
      <c r="C553" t="s">
        <v>106</v>
      </c>
      <c r="D553" t="s">
        <v>27</v>
      </c>
      <c r="E553" t="s">
        <v>301</v>
      </c>
      <c r="F553" t="s">
        <v>117</v>
      </c>
      <c r="G553">
        <v>142000</v>
      </c>
      <c r="H553" s="1">
        <v>45500</v>
      </c>
      <c r="I553">
        <v>2024</v>
      </c>
      <c r="J553" t="s">
        <v>57</v>
      </c>
      <c r="K553">
        <v>7</v>
      </c>
      <c r="L553" t="s">
        <v>21</v>
      </c>
      <c r="M553" t="s">
        <v>22</v>
      </c>
      <c r="N553" t="s">
        <v>23</v>
      </c>
    </row>
    <row r="554" spans="1:14" x14ac:dyDescent="0.3">
      <c r="A554" t="s">
        <v>352</v>
      </c>
      <c r="B554" t="s">
        <v>25</v>
      </c>
      <c r="C554" t="s">
        <v>168</v>
      </c>
      <c r="D554" t="s">
        <v>70</v>
      </c>
      <c r="E554" t="s">
        <v>357</v>
      </c>
      <c r="F554" t="s">
        <v>19</v>
      </c>
      <c r="G554">
        <v>383000</v>
      </c>
      <c r="H554" s="1">
        <v>45399</v>
      </c>
      <c r="I554">
        <v>2024</v>
      </c>
      <c r="J554" t="s">
        <v>20</v>
      </c>
      <c r="K554">
        <v>4</v>
      </c>
      <c r="L554" t="s">
        <v>21</v>
      </c>
      <c r="M554" t="s">
        <v>22</v>
      </c>
      <c r="N554" t="s">
        <v>31</v>
      </c>
    </row>
    <row r="555" spans="1:14" x14ac:dyDescent="0.3">
      <c r="A555" t="s">
        <v>507</v>
      </c>
      <c r="B555" t="s">
        <v>15</v>
      </c>
      <c r="C555" t="s">
        <v>53</v>
      </c>
      <c r="D555" t="s">
        <v>111</v>
      </c>
      <c r="E555" t="s">
        <v>140</v>
      </c>
      <c r="F555" t="s">
        <v>103</v>
      </c>
      <c r="G555">
        <v>4568000</v>
      </c>
      <c r="H555" s="1">
        <v>44342</v>
      </c>
      <c r="I555">
        <v>2021</v>
      </c>
      <c r="J555" t="s">
        <v>77</v>
      </c>
      <c r="K555">
        <v>5</v>
      </c>
      <c r="L555" t="s">
        <v>38</v>
      </c>
      <c r="M555" t="s">
        <v>30</v>
      </c>
      <c r="N555" t="s">
        <v>23</v>
      </c>
    </row>
    <row r="556" spans="1:14" x14ac:dyDescent="0.3">
      <c r="A556" t="s">
        <v>395</v>
      </c>
      <c r="B556" t="s">
        <v>15</v>
      </c>
      <c r="C556" t="s">
        <v>110</v>
      </c>
      <c r="D556" t="s">
        <v>17</v>
      </c>
      <c r="E556" t="s">
        <v>530</v>
      </c>
      <c r="F556" t="s">
        <v>56</v>
      </c>
      <c r="G556">
        <v>753000</v>
      </c>
      <c r="H556" s="1">
        <v>44321</v>
      </c>
      <c r="I556">
        <v>2021</v>
      </c>
      <c r="J556" t="s">
        <v>77</v>
      </c>
      <c r="K556">
        <v>5</v>
      </c>
      <c r="L556" t="s">
        <v>38</v>
      </c>
      <c r="M556" t="s">
        <v>22</v>
      </c>
      <c r="N556" t="s">
        <v>23</v>
      </c>
    </row>
    <row r="557" spans="1:14" x14ac:dyDescent="0.3">
      <c r="A557" t="s">
        <v>178</v>
      </c>
      <c r="B557" t="s">
        <v>25</v>
      </c>
      <c r="C557" t="s">
        <v>26</v>
      </c>
      <c r="D557" t="s">
        <v>34</v>
      </c>
      <c r="E557" t="s">
        <v>63</v>
      </c>
      <c r="F557" t="s">
        <v>56</v>
      </c>
      <c r="G557">
        <v>253000</v>
      </c>
      <c r="H557" s="1">
        <v>45578</v>
      </c>
      <c r="I557">
        <v>2024</v>
      </c>
      <c r="J557" t="s">
        <v>89</v>
      </c>
      <c r="K557">
        <v>10</v>
      </c>
      <c r="L557" t="s">
        <v>38</v>
      </c>
      <c r="M557" t="s">
        <v>22</v>
      </c>
      <c r="N557" t="s">
        <v>31</v>
      </c>
    </row>
    <row r="558" spans="1:14" x14ac:dyDescent="0.3">
      <c r="A558" t="s">
        <v>323</v>
      </c>
      <c r="B558" t="s">
        <v>186</v>
      </c>
      <c r="C558" t="s">
        <v>60</v>
      </c>
      <c r="D558" t="s">
        <v>75</v>
      </c>
      <c r="E558" t="s">
        <v>531</v>
      </c>
      <c r="F558" t="s">
        <v>103</v>
      </c>
      <c r="G558">
        <v>1438000</v>
      </c>
      <c r="H558" s="1">
        <v>45265</v>
      </c>
      <c r="I558">
        <v>2023</v>
      </c>
      <c r="J558" t="s">
        <v>99</v>
      </c>
      <c r="K558">
        <v>12</v>
      </c>
      <c r="L558" t="s">
        <v>38</v>
      </c>
      <c r="M558" t="s">
        <v>30</v>
      </c>
      <c r="N558" t="s">
        <v>31</v>
      </c>
    </row>
    <row r="559" spans="1:14" x14ac:dyDescent="0.3">
      <c r="A559" t="s">
        <v>532</v>
      </c>
      <c r="B559" t="s">
        <v>32</v>
      </c>
      <c r="C559" t="s">
        <v>33</v>
      </c>
      <c r="D559" t="s">
        <v>54</v>
      </c>
      <c r="E559" t="s">
        <v>231</v>
      </c>
      <c r="F559" t="s">
        <v>188</v>
      </c>
      <c r="G559">
        <v>56000</v>
      </c>
      <c r="H559" s="1">
        <v>44408</v>
      </c>
      <c r="I559">
        <v>2021</v>
      </c>
      <c r="J559" t="s">
        <v>57</v>
      </c>
      <c r="K559">
        <v>7</v>
      </c>
      <c r="L559" t="s">
        <v>38</v>
      </c>
      <c r="M559" t="s">
        <v>22</v>
      </c>
      <c r="N559" t="s">
        <v>40</v>
      </c>
    </row>
    <row r="560" spans="1:14" x14ac:dyDescent="0.3">
      <c r="A560" t="s">
        <v>235</v>
      </c>
      <c r="B560" t="s">
        <v>25</v>
      </c>
      <c r="C560" t="s">
        <v>171</v>
      </c>
      <c r="D560" t="s">
        <v>44</v>
      </c>
      <c r="E560" t="s">
        <v>533</v>
      </c>
      <c r="F560" t="s">
        <v>19</v>
      </c>
      <c r="G560">
        <v>810000</v>
      </c>
      <c r="H560" s="1">
        <v>43861</v>
      </c>
      <c r="I560">
        <v>2020</v>
      </c>
      <c r="J560" t="s">
        <v>29</v>
      </c>
      <c r="K560">
        <v>1</v>
      </c>
      <c r="L560" t="s">
        <v>21</v>
      </c>
      <c r="M560" t="s">
        <v>22</v>
      </c>
      <c r="N560" t="s">
        <v>31</v>
      </c>
    </row>
    <row r="561" spans="1:14" x14ac:dyDescent="0.3">
      <c r="A561" t="s">
        <v>233</v>
      </c>
      <c r="B561" t="s">
        <v>86</v>
      </c>
      <c r="C561" t="s">
        <v>339</v>
      </c>
      <c r="D561" t="s">
        <v>27</v>
      </c>
      <c r="E561" t="s">
        <v>121</v>
      </c>
      <c r="F561" t="s">
        <v>19</v>
      </c>
      <c r="G561">
        <v>493000</v>
      </c>
      <c r="H561" s="1">
        <v>45558</v>
      </c>
      <c r="I561">
        <v>2024</v>
      </c>
      <c r="J561" t="s">
        <v>46</v>
      </c>
      <c r="K561">
        <v>9</v>
      </c>
      <c r="L561" t="s">
        <v>21</v>
      </c>
      <c r="M561" t="s">
        <v>22</v>
      </c>
      <c r="N561" t="s">
        <v>47</v>
      </c>
    </row>
    <row r="562" spans="1:14" x14ac:dyDescent="0.3">
      <c r="A562" t="s">
        <v>534</v>
      </c>
      <c r="B562" t="s">
        <v>42</v>
      </c>
      <c r="C562" t="s">
        <v>182</v>
      </c>
      <c r="D562" t="s">
        <v>44</v>
      </c>
      <c r="E562" t="s">
        <v>535</v>
      </c>
      <c r="F562" t="s">
        <v>128</v>
      </c>
      <c r="G562">
        <v>41000</v>
      </c>
      <c r="H562" s="1">
        <v>44343</v>
      </c>
      <c r="I562">
        <v>2021</v>
      </c>
      <c r="J562" t="s">
        <v>77</v>
      </c>
      <c r="K562">
        <v>5</v>
      </c>
      <c r="L562" t="s">
        <v>21</v>
      </c>
      <c r="M562" t="s">
        <v>22</v>
      </c>
      <c r="N562" t="s">
        <v>47</v>
      </c>
    </row>
    <row r="563" spans="1:14" x14ac:dyDescent="0.3">
      <c r="A563" t="s">
        <v>80</v>
      </c>
      <c r="B563" t="s">
        <v>42</v>
      </c>
      <c r="C563" t="s">
        <v>182</v>
      </c>
      <c r="D563" t="s">
        <v>27</v>
      </c>
      <c r="E563" t="s">
        <v>91</v>
      </c>
      <c r="F563" t="s">
        <v>19</v>
      </c>
      <c r="G563">
        <v>110000</v>
      </c>
      <c r="H563" s="1">
        <v>45336</v>
      </c>
      <c r="I563">
        <v>2024</v>
      </c>
      <c r="J563" t="s">
        <v>108</v>
      </c>
      <c r="K563">
        <v>2</v>
      </c>
      <c r="L563" t="s">
        <v>21</v>
      </c>
      <c r="M563" t="s">
        <v>22</v>
      </c>
      <c r="N563" t="s">
        <v>47</v>
      </c>
    </row>
    <row r="564" spans="1:14" x14ac:dyDescent="0.3">
      <c r="A564" t="s">
        <v>109</v>
      </c>
      <c r="B564" t="s">
        <v>49</v>
      </c>
      <c r="C564" t="s">
        <v>225</v>
      </c>
      <c r="D564" t="s">
        <v>96</v>
      </c>
      <c r="E564" t="s">
        <v>293</v>
      </c>
      <c r="F564" t="s">
        <v>19</v>
      </c>
      <c r="G564">
        <v>83000</v>
      </c>
      <c r="H564" s="1">
        <v>45322</v>
      </c>
      <c r="I564">
        <v>2024</v>
      </c>
      <c r="J564" t="s">
        <v>29</v>
      </c>
      <c r="K564">
        <v>1</v>
      </c>
      <c r="L564" t="s">
        <v>21</v>
      </c>
      <c r="M564" t="s">
        <v>22</v>
      </c>
      <c r="N564" t="s">
        <v>40</v>
      </c>
    </row>
    <row r="565" spans="1:14" x14ac:dyDescent="0.3">
      <c r="A565" t="s">
        <v>145</v>
      </c>
      <c r="B565" t="s">
        <v>49</v>
      </c>
      <c r="C565" t="s">
        <v>225</v>
      </c>
      <c r="D565" t="s">
        <v>44</v>
      </c>
      <c r="E565" t="s">
        <v>536</v>
      </c>
      <c r="F565" t="s">
        <v>56</v>
      </c>
      <c r="G565">
        <v>103000</v>
      </c>
      <c r="H565" s="1">
        <v>43937</v>
      </c>
      <c r="I565">
        <v>2020</v>
      </c>
      <c r="J565" t="s">
        <v>20</v>
      </c>
      <c r="K565">
        <v>4</v>
      </c>
      <c r="L565" t="s">
        <v>38</v>
      </c>
      <c r="M565" t="s">
        <v>22</v>
      </c>
      <c r="N565" t="s">
        <v>40</v>
      </c>
    </row>
    <row r="566" spans="1:14" x14ac:dyDescent="0.3">
      <c r="A566" t="s">
        <v>537</v>
      </c>
      <c r="B566" t="s">
        <v>59</v>
      </c>
      <c r="C566" t="s">
        <v>149</v>
      </c>
      <c r="D566" t="s">
        <v>75</v>
      </c>
      <c r="E566" t="s">
        <v>157</v>
      </c>
      <c r="F566" t="s">
        <v>19</v>
      </c>
      <c r="G566">
        <v>182000</v>
      </c>
      <c r="H566" s="1">
        <v>45447</v>
      </c>
      <c r="I566">
        <v>2024</v>
      </c>
      <c r="J566" t="s">
        <v>141</v>
      </c>
      <c r="K566">
        <v>6</v>
      </c>
      <c r="L566" t="s">
        <v>21</v>
      </c>
      <c r="M566" t="s">
        <v>22</v>
      </c>
      <c r="N566" t="s">
        <v>31</v>
      </c>
    </row>
    <row r="567" spans="1:14" x14ac:dyDescent="0.3">
      <c r="A567" t="s">
        <v>223</v>
      </c>
      <c r="B567" t="s">
        <v>126</v>
      </c>
      <c r="C567" t="s">
        <v>127</v>
      </c>
      <c r="D567" t="s">
        <v>70</v>
      </c>
      <c r="E567" t="s">
        <v>51</v>
      </c>
      <c r="F567" t="s">
        <v>36</v>
      </c>
      <c r="G567">
        <v>25663000</v>
      </c>
      <c r="H567" s="1">
        <v>44148</v>
      </c>
      <c r="I567">
        <v>2020</v>
      </c>
      <c r="J567" t="s">
        <v>72</v>
      </c>
      <c r="K567">
        <v>11</v>
      </c>
      <c r="L567" t="s">
        <v>38</v>
      </c>
      <c r="M567" t="s">
        <v>39</v>
      </c>
      <c r="N567" t="s">
        <v>40</v>
      </c>
    </row>
    <row r="568" spans="1:14" x14ac:dyDescent="0.3">
      <c r="A568" t="s">
        <v>80</v>
      </c>
      <c r="B568" t="s">
        <v>186</v>
      </c>
      <c r="C568" t="s">
        <v>149</v>
      </c>
      <c r="D568" t="s">
        <v>96</v>
      </c>
      <c r="E568" t="s">
        <v>538</v>
      </c>
      <c r="F568" t="s">
        <v>128</v>
      </c>
      <c r="G568">
        <v>16000</v>
      </c>
      <c r="H568" s="1">
        <v>45386</v>
      </c>
      <c r="I568">
        <v>2024</v>
      </c>
      <c r="J568" t="s">
        <v>20</v>
      </c>
      <c r="K568">
        <v>4</v>
      </c>
      <c r="L568" t="s">
        <v>21</v>
      </c>
      <c r="M568" t="s">
        <v>22</v>
      </c>
      <c r="N568" t="s">
        <v>31</v>
      </c>
    </row>
    <row r="569" spans="1:14" x14ac:dyDescent="0.3">
      <c r="A569" t="s">
        <v>52</v>
      </c>
      <c r="B569" t="s">
        <v>15</v>
      </c>
      <c r="C569" t="s">
        <v>110</v>
      </c>
      <c r="D569" t="s">
        <v>111</v>
      </c>
      <c r="E569" t="s">
        <v>51</v>
      </c>
      <c r="F569" t="s">
        <v>132</v>
      </c>
      <c r="G569">
        <v>65394000</v>
      </c>
      <c r="H569" s="1">
        <v>45380</v>
      </c>
      <c r="I569">
        <v>2024</v>
      </c>
      <c r="J569" t="s">
        <v>37</v>
      </c>
      <c r="K569">
        <v>3</v>
      </c>
      <c r="L569" t="s">
        <v>65</v>
      </c>
      <c r="M569" t="s">
        <v>39</v>
      </c>
      <c r="N569" t="s">
        <v>23</v>
      </c>
    </row>
    <row r="570" spans="1:14" x14ac:dyDescent="0.3">
      <c r="A570" t="s">
        <v>235</v>
      </c>
      <c r="B570" t="s">
        <v>25</v>
      </c>
      <c r="C570" t="s">
        <v>171</v>
      </c>
      <c r="D570" t="s">
        <v>27</v>
      </c>
      <c r="E570" t="s">
        <v>539</v>
      </c>
      <c r="F570" t="s">
        <v>36</v>
      </c>
      <c r="G570">
        <v>61332000</v>
      </c>
      <c r="H570" s="1">
        <v>44564</v>
      </c>
      <c r="I570">
        <v>2022</v>
      </c>
      <c r="J570" t="s">
        <v>29</v>
      </c>
      <c r="K570">
        <v>1</v>
      </c>
      <c r="L570" t="s">
        <v>38</v>
      </c>
      <c r="M570" t="s">
        <v>39</v>
      </c>
      <c r="N570" t="s">
        <v>31</v>
      </c>
    </row>
    <row r="571" spans="1:14" x14ac:dyDescent="0.3">
      <c r="A571" t="s">
        <v>235</v>
      </c>
      <c r="B571" t="s">
        <v>32</v>
      </c>
      <c r="C571" t="s">
        <v>138</v>
      </c>
      <c r="D571" t="s">
        <v>111</v>
      </c>
      <c r="E571" t="s">
        <v>540</v>
      </c>
      <c r="F571" t="s">
        <v>36</v>
      </c>
      <c r="G571">
        <v>13131000</v>
      </c>
      <c r="H571" s="1">
        <v>44219</v>
      </c>
      <c r="I571">
        <v>2021</v>
      </c>
      <c r="J571" t="s">
        <v>29</v>
      </c>
      <c r="K571">
        <v>1</v>
      </c>
      <c r="L571" t="s">
        <v>38</v>
      </c>
      <c r="M571" t="s">
        <v>39</v>
      </c>
      <c r="N571" t="s">
        <v>40</v>
      </c>
    </row>
    <row r="572" spans="1:14" x14ac:dyDescent="0.3">
      <c r="A572" t="s">
        <v>221</v>
      </c>
      <c r="B572" t="s">
        <v>94</v>
      </c>
      <c r="C572" t="s">
        <v>146</v>
      </c>
      <c r="D572" t="s">
        <v>111</v>
      </c>
      <c r="E572" t="s">
        <v>183</v>
      </c>
      <c r="F572" t="s">
        <v>19</v>
      </c>
      <c r="G572">
        <v>333000</v>
      </c>
      <c r="H572" s="1">
        <v>44918</v>
      </c>
      <c r="I572">
        <v>2022</v>
      </c>
      <c r="J572" t="s">
        <v>99</v>
      </c>
      <c r="K572">
        <v>12</v>
      </c>
      <c r="L572" t="s">
        <v>21</v>
      </c>
      <c r="M572" t="s">
        <v>22</v>
      </c>
      <c r="N572" t="s">
        <v>40</v>
      </c>
    </row>
    <row r="573" spans="1:14" x14ac:dyDescent="0.3">
      <c r="A573" t="s">
        <v>118</v>
      </c>
      <c r="B573" t="s">
        <v>32</v>
      </c>
      <c r="C573" t="s">
        <v>138</v>
      </c>
      <c r="D573" t="s">
        <v>70</v>
      </c>
      <c r="E573" t="s">
        <v>540</v>
      </c>
      <c r="F573" t="s">
        <v>117</v>
      </c>
      <c r="G573">
        <v>122000</v>
      </c>
      <c r="H573" s="1">
        <v>45137</v>
      </c>
      <c r="I573">
        <v>2023</v>
      </c>
      <c r="J573" t="s">
        <v>57</v>
      </c>
      <c r="K573">
        <v>7</v>
      </c>
      <c r="L573" t="s">
        <v>21</v>
      </c>
      <c r="M573" t="s">
        <v>22</v>
      </c>
      <c r="N573" t="s">
        <v>40</v>
      </c>
    </row>
    <row r="574" spans="1:14" x14ac:dyDescent="0.3">
      <c r="A574" t="s">
        <v>276</v>
      </c>
      <c r="B574" t="s">
        <v>126</v>
      </c>
      <c r="C574" t="s">
        <v>265</v>
      </c>
      <c r="D574" t="s">
        <v>75</v>
      </c>
      <c r="E574" t="s">
        <v>315</v>
      </c>
      <c r="F574" t="s">
        <v>19</v>
      </c>
      <c r="G574">
        <v>216000</v>
      </c>
      <c r="H574" s="1">
        <v>45307</v>
      </c>
      <c r="I574">
        <v>2024</v>
      </c>
      <c r="J574" t="s">
        <v>29</v>
      </c>
      <c r="K574">
        <v>1</v>
      </c>
      <c r="L574" t="s">
        <v>21</v>
      </c>
      <c r="M574" t="s">
        <v>22</v>
      </c>
      <c r="N574" t="s">
        <v>40</v>
      </c>
    </row>
    <row r="575" spans="1:14" x14ac:dyDescent="0.3">
      <c r="A575" t="s">
        <v>395</v>
      </c>
      <c r="B575" t="s">
        <v>49</v>
      </c>
      <c r="C575" t="s">
        <v>225</v>
      </c>
      <c r="D575" t="s">
        <v>111</v>
      </c>
      <c r="E575" t="s">
        <v>270</v>
      </c>
      <c r="F575" t="s">
        <v>19</v>
      </c>
      <c r="G575">
        <v>496000</v>
      </c>
      <c r="H575" s="1">
        <v>44410</v>
      </c>
      <c r="I575">
        <v>2021</v>
      </c>
      <c r="J575" t="s">
        <v>153</v>
      </c>
      <c r="K575">
        <v>8</v>
      </c>
      <c r="L575" t="s">
        <v>21</v>
      </c>
      <c r="M575" t="s">
        <v>22</v>
      </c>
      <c r="N575" t="s">
        <v>40</v>
      </c>
    </row>
    <row r="576" spans="1:14" x14ac:dyDescent="0.3">
      <c r="A576" t="s">
        <v>332</v>
      </c>
      <c r="B576" t="s">
        <v>32</v>
      </c>
      <c r="C576" t="s">
        <v>101</v>
      </c>
      <c r="D576" t="s">
        <v>17</v>
      </c>
      <c r="E576" t="s">
        <v>63</v>
      </c>
      <c r="F576" t="s">
        <v>117</v>
      </c>
      <c r="G576">
        <v>146000</v>
      </c>
      <c r="H576" s="1">
        <v>45751</v>
      </c>
      <c r="I576">
        <v>2025</v>
      </c>
      <c r="J576" t="s">
        <v>20</v>
      </c>
      <c r="K576">
        <v>4</v>
      </c>
      <c r="L576" t="s">
        <v>21</v>
      </c>
      <c r="M576" t="s">
        <v>22</v>
      </c>
      <c r="N576" t="s">
        <v>40</v>
      </c>
    </row>
    <row r="577" spans="1:14" x14ac:dyDescent="0.3">
      <c r="A577" t="s">
        <v>393</v>
      </c>
      <c r="B577" t="s">
        <v>42</v>
      </c>
      <c r="C577" t="s">
        <v>182</v>
      </c>
      <c r="D577" t="s">
        <v>17</v>
      </c>
      <c r="E577" t="s">
        <v>498</v>
      </c>
      <c r="F577" t="s">
        <v>117</v>
      </c>
      <c r="G577">
        <v>178000</v>
      </c>
      <c r="H577" s="1">
        <v>45145</v>
      </c>
      <c r="I577">
        <v>2023</v>
      </c>
      <c r="J577" t="s">
        <v>153</v>
      </c>
      <c r="K577">
        <v>8</v>
      </c>
      <c r="L577" t="s">
        <v>21</v>
      </c>
      <c r="M577" t="s">
        <v>22</v>
      </c>
      <c r="N577" t="s">
        <v>47</v>
      </c>
    </row>
    <row r="578" spans="1:14" x14ac:dyDescent="0.3">
      <c r="A578" t="s">
        <v>541</v>
      </c>
      <c r="B578" t="s">
        <v>15</v>
      </c>
      <c r="C578" t="s">
        <v>74</v>
      </c>
      <c r="D578" t="s">
        <v>27</v>
      </c>
      <c r="E578" t="s">
        <v>488</v>
      </c>
      <c r="F578" t="s">
        <v>128</v>
      </c>
      <c r="G578">
        <v>8000</v>
      </c>
      <c r="H578" s="1">
        <v>44258</v>
      </c>
      <c r="I578">
        <v>2021</v>
      </c>
      <c r="J578" t="s">
        <v>37</v>
      </c>
      <c r="K578">
        <v>3</v>
      </c>
      <c r="L578" t="s">
        <v>21</v>
      </c>
      <c r="M578" t="s">
        <v>22</v>
      </c>
      <c r="N578" t="s">
        <v>23</v>
      </c>
    </row>
    <row r="579" spans="1:14" x14ac:dyDescent="0.3">
      <c r="A579" t="s">
        <v>368</v>
      </c>
      <c r="B579" t="s">
        <v>25</v>
      </c>
      <c r="C579" t="s">
        <v>168</v>
      </c>
      <c r="D579" t="s">
        <v>96</v>
      </c>
      <c r="E579" t="s">
        <v>365</v>
      </c>
      <c r="F579" t="s">
        <v>132</v>
      </c>
      <c r="G579">
        <v>245913000</v>
      </c>
      <c r="H579" s="1">
        <v>43950</v>
      </c>
      <c r="I579">
        <v>2020</v>
      </c>
      <c r="J579" t="s">
        <v>20</v>
      </c>
      <c r="K579">
        <v>4</v>
      </c>
      <c r="L579" t="s">
        <v>65</v>
      </c>
      <c r="M579" t="s">
        <v>66</v>
      </c>
      <c r="N579" t="s">
        <v>31</v>
      </c>
    </row>
    <row r="580" spans="1:14" x14ac:dyDescent="0.3">
      <c r="A580" t="s">
        <v>24</v>
      </c>
      <c r="B580" t="s">
        <v>114</v>
      </c>
      <c r="C580" t="s">
        <v>115</v>
      </c>
      <c r="D580" t="s">
        <v>17</v>
      </c>
      <c r="E580" t="s">
        <v>280</v>
      </c>
      <c r="F580" t="s">
        <v>188</v>
      </c>
      <c r="G580">
        <v>307000</v>
      </c>
      <c r="H580" s="1">
        <v>45798</v>
      </c>
      <c r="I580">
        <v>2025</v>
      </c>
      <c r="J580" t="s">
        <v>77</v>
      </c>
      <c r="K580">
        <v>5</v>
      </c>
      <c r="L580" t="s">
        <v>38</v>
      </c>
      <c r="M580" t="s">
        <v>22</v>
      </c>
      <c r="N580" t="s">
        <v>47</v>
      </c>
    </row>
    <row r="581" spans="1:14" x14ac:dyDescent="0.3">
      <c r="A581" t="s">
        <v>170</v>
      </c>
      <c r="B581" t="s">
        <v>32</v>
      </c>
      <c r="C581" t="s">
        <v>101</v>
      </c>
      <c r="D581" t="s">
        <v>44</v>
      </c>
      <c r="E581" t="s">
        <v>192</v>
      </c>
      <c r="F581" t="s">
        <v>103</v>
      </c>
      <c r="G581">
        <v>2012000</v>
      </c>
      <c r="H581" s="1">
        <v>45771</v>
      </c>
      <c r="I581">
        <v>2025</v>
      </c>
      <c r="J581" t="s">
        <v>20</v>
      </c>
      <c r="K581">
        <v>4</v>
      </c>
      <c r="L581" t="s">
        <v>38</v>
      </c>
      <c r="M581" t="s">
        <v>30</v>
      </c>
      <c r="N581" t="s">
        <v>40</v>
      </c>
    </row>
    <row r="582" spans="1:14" x14ac:dyDescent="0.3">
      <c r="A582" t="s">
        <v>347</v>
      </c>
      <c r="B582" t="s">
        <v>59</v>
      </c>
      <c r="C582" t="s">
        <v>60</v>
      </c>
      <c r="D582" t="s">
        <v>75</v>
      </c>
      <c r="E582" t="s">
        <v>542</v>
      </c>
      <c r="F582" t="s">
        <v>56</v>
      </c>
      <c r="G582">
        <v>288000</v>
      </c>
      <c r="H582" s="1">
        <v>44770</v>
      </c>
      <c r="I582">
        <v>2022</v>
      </c>
      <c r="J582" t="s">
        <v>57</v>
      </c>
      <c r="K582">
        <v>7</v>
      </c>
      <c r="L582" t="s">
        <v>38</v>
      </c>
      <c r="M582" t="s">
        <v>22</v>
      </c>
      <c r="N582" t="s">
        <v>31</v>
      </c>
    </row>
    <row r="583" spans="1:14" x14ac:dyDescent="0.3">
      <c r="A583" t="s">
        <v>287</v>
      </c>
      <c r="B583" t="s">
        <v>32</v>
      </c>
      <c r="C583" t="s">
        <v>138</v>
      </c>
      <c r="D583" t="s">
        <v>54</v>
      </c>
      <c r="E583" t="s">
        <v>543</v>
      </c>
      <c r="F583" t="s">
        <v>103</v>
      </c>
      <c r="G583">
        <v>14210000</v>
      </c>
      <c r="H583" s="1">
        <v>45059</v>
      </c>
      <c r="I583">
        <v>2023</v>
      </c>
      <c r="J583" t="s">
        <v>77</v>
      </c>
      <c r="K583">
        <v>5</v>
      </c>
      <c r="L583" t="s">
        <v>38</v>
      </c>
      <c r="M583" t="s">
        <v>39</v>
      </c>
      <c r="N583" t="s">
        <v>40</v>
      </c>
    </row>
    <row r="584" spans="1:14" x14ac:dyDescent="0.3">
      <c r="A584" t="s">
        <v>267</v>
      </c>
      <c r="B584" t="s">
        <v>68</v>
      </c>
      <c r="C584" t="s">
        <v>149</v>
      </c>
      <c r="D584" t="s">
        <v>136</v>
      </c>
      <c r="E584" t="s">
        <v>202</v>
      </c>
      <c r="F584" t="s">
        <v>132</v>
      </c>
      <c r="G584">
        <v>75927000</v>
      </c>
      <c r="H584" s="1">
        <v>44493</v>
      </c>
      <c r="I584">
        <v>2021</v>
      </c>
      <c r="J584" t="s">
        <v>89</v>
      </c>
      <c r="K584">
        <v>10</v>
      </c>
      <c r="L584" t="s">
        <v>65</v>
      </c>
      <c r="M584" t="s">
        <v>39</v>
      </c>
      <c r="N584" t="s">
        <v>31</v>
      </c>
    </row>
    <row r="585" spans="1:14" x14ac:dyDescent="0.3">
      <c r="A585" t="s">
        <v>193</v>
      </c>
      <c r="B585" t="s">
        <v>25</v>
      </c>
      <c r="C585" t="s">
        <v>168</v>
      </c>
      <c r="D585" t="s">
        <v>96</v>
      </c>
      <c r="E585" t="s">
        <v>157</v>
      </c>
      <c r="F585" t="s">
        <v>188</v>
      </c>
      <c r="G585">
        <v>168000</v>
      </c>
      <c r="H585" s="1">
        <v>44747</v>
      </c>
      <c r="I585">
        <v>2022</v>
      </c>
      <c r="J585" t="s">
        <v>57</v>
      </c>
      <c r="K585">
        <v>7</v>
      </c>
      <c r="L585" t="s">
        <v>38</v>
      </c>
      <c r="M585" t="s">
        <v>22</v>
      </c>
      <c r="N585" t="s">
        <v>31</v>
      </c>
    </row>
    <row r="586" spans="1:14" x14ac:dyDescent="0.3">
      <c r="A586" t="s">
        <v>210</v>
      </c>
      <c r="B586" t="s">
        <v>32</v>
      </c>
      <c r="C586" t="s">
        <v>33</v>
      </c>
      <c r="D586" t="s">
        <v>34</v>
      </c>
      <c r="E586" t="s">
        <v>28</v>
      </c>
      <c r="F586" t="s">
        <v>117</v>
      </c>
      <c r="G586">
        <v>86000</v>
      </c>
      <c r="H586" s="1">
        <v>44285</v>
      </c>
      <c r="I586">
        <v>2021</v>
      </c>
      <c r="J586" t="s">
        <v>37</v>
      </c>
      <c r="K586">
        <v>3</v>
      </c>
      <c r="L586" t="s">
        <v>21</v>
      </c>
      <c r="M586" t="s">
        <v>22</v>
      </c>
      <c r="N586" t="s">
        <v>40</v>
      </c>
    </row>
    <row r="587" spans="1:14" x14ac:dyDescent="0.3">
      <c r="A587" t="s">
        <v>224</v>
      </c>
      <c r="B587" t="s">
        <v>25</v>
      </c>
      <c r="C587" t="s">
        <v>168</v>
      </c>
      <c r="D587" t="s">
        <v>111</v>
      </c>
      <c r="E587" t="s">
        <v>515</v>
      </c>
      <c r="F587" t="s">
        <v>103</v>
      </c>
      <c r="G587">
        <v>1916000</v>
      </c>
      <c r="H587" s="1">
        <v>44999</v>
      </c>
      <c r="I587">
        <v>2023</v>
      </c>
      <c r="J587" t="s">
        <v>37</v>
      </c>
      <c r="K587">
        <v>3</v>
      </c>
      <c r="L587" t="s">
        <v>38</v>
      </c>
      <c r="M587" t="s">
        <v>30</v>
      </c>
      <c r="N587" t="s">
        <v>31</v>
      </c>
    </row>
    <row r="588" spans="1:14" x14ac:dyDescent="0.3">
      <c r="A588" t="s">
        <v>446</v>
      </c>
      <c r="B588" t="s">
        <v>105</v>
      </c>
      <c r="C588" t="s">
        <v>345</v>
      </c>
      <c r="D588" t="s">
        <v>34</v>
      </c>
      <c r="E588" t="s">
        <v>217</v>
      </c>
      <c r="F588" t="s">
        <v>56</v>
      </c>
      <c r="G588">
        <v>119000</v>
      </c>
      <c r="H588" s="1">
        <v>45023</v>
      </c>
      <c r="I588">
        <v>2023</v>
      </c>
      <c r="J588" t="s">
        <v>20</v>
      </c>
      <c r="K588">
        <v>4</v>
      </c>
      <c r="L588" t="s">
        <v>38</v>
      </c>
      <c r="M588" t="s">
        <v>22</v>
      </c>
      <c r="N588" t="s">
        <v>23</v>
      </c>
    </row>
    <row r="589" spans="1:14" x14ac:dyDescent="0.3">
      <c r="A589" t="s">
        <v>249</v>
      </c>
      <c r="B589" t="s">
        <v>186</v>
      </c>
      <c r="C589" t="s">
        <v>149</v>
      </c>
      <c r="D589" t="s">
        <v>136</v>
      </c>
      <c r="E589" t="s">
        <v>544</v>
      </c>
      <c r="F589" t="s">
        <v>103</v>
      </c>
      <c r="G589">
        <v>1418000</v>
      </c>
      <c r="H589" s="1">
        <v>44276</v>
      </c>
      <c r="I589">
        <v>2021</v>
      </c>
      <c r="J589" t="s">
        <v>37</v>
      </c>
      <c r="K589">
        <v>3</v>
      </c>
      <c r="L589" t="s">
        <v>38</v>
      </c>
      <c r="M589" t="s">
        <v>30</v>
      </c>
      <c r="N589" t="s">
        <v>31</v>
      </c>
    </row>
    <row r="590" spans="1:14" x14ac:dyDescent="0.3">
      <c r="A590" t="s">
        <v>312</v>
      </c>
      <c r="B590" t="s">
        <v>114</v>
      </c>
      <c r="C590" t="s">
        <v>243</v>
      </c>
      <c r="D590" t="s">
        <v>75</v>
      </c>
      <c r="E590" t="s">
        <v>545</v>
      </c>
      <c r="F590" t="s">
        <v>132</v>
      </c>
      <c r="G590">
        <v>28289000</v>
      </c>
      <c r="H590" s="1">
        <v>44026</v>
      </c>
      <c r="I590">
        <v>2020</v>
      </c>
      <c r="J590" t="s">
        <v>57</v>
      </c>
      <c r="K590">
        <v>7</v>
      </c>
      <c r="L590" t="s">
        <v>65</v>
      </c>
      <c r="M590" t="s">
        <v>39</v>
      </c>
      <c r="N590" t="s">
        <v>47</v>
      </c>
    </row>
    <row r="591" spans="1:14" x14ac:dyDescent="0.3">
      <c r="A591" t="s">
        <v>546</v>
      </c>
      <c r="B591" t="s">
        <v>81</v>
      </c>
      <c r="C591" t="s">
        <v>319</v>
      </c>
      <c r="D591" t="s">
        <v>96</v>
      </c>
      <c r="E591" t="s">
        <v>35</v>
      </c>
      <c r="F591" t="s">
        <v>64</v>
      </c>
      <c r="G591">
        <v>74657000</v>
      </c>
      <c r="H591" s="1">
        <v>44720</v>
      </c>
      <c r="I591">
        <v>2022</v>
      </c>
      <c r="J591" t="s">
        <v>141</v>
      </c>
      <c r="K591">
        <v>6</v>
      </c>
      <c r="L591" t="s">
        <v>65</v>
      </c>
      <c r="M591" t="s">
        <v>39</v>
      </c>
      <c r="N591" t="s">
        <v>84</v>
      </c>
    </row>
    <row r="592" spans="1:14" x14ac:dyDescent="0.3">
      <c r="A592" t="s">
        <v>134</v>
      </c>
      <c r="B592" t="s">
        <v>114</v>
      </c>
      <c r="C592" t="s">
        <v>243</v>
      </c>
      <c r="D592" t="s">
        <v>27</v>
      </c>
      <c r="E592" t="s">
        <v>547</v>
      </c>
      <c r="F592" t="s">
        <v>36</v>
      </c>
      <c r="G592">
        <v>7347000</v>
      </c>
      <c r="H592" s="1">
        <v>45125</v>
      </c>
      <c r="I592">
        <v>2023</v>
      </c>
      <c r="J592" t="s">
        <v>57</v>
      </c>
      <c r="K592">
        <v>7</v>
      </c>
      <c r="L592" t="s">
        <v>38</v>
      </c>
      <c r="M592" t="s">
        <v>30</v>
      </c>
      <c r="N592" t="s">
        <v>47</v>
      </c>
    </row>
    <row r="593" spans="1:14" x14ac:dyDescent="0.3">
      <c r="A593" t="s">
        <v>355</v>
      </c>
      <c r="B593" t="s">
        <v>105</v>
      </c>
      <c r="C593" t="s">
        <v>106</v>
      </c>
      <c r="D593" t="s">
        <v>111</v>
      </c>
      <c r="E593" t="s">
        <v>315</v>
      </c>
      <c r="F593" t="s">
        <v>36</v>
      </c>
      <c r="G593">
        <v>29557000</v>
      </c>
      <c r="H593" s="1">
        <v>44144</v>
      </c>
      <c r="I593">
        <v>2020</v>
      </c>
      <c r="J593" t="s">
        <v>72</v>
      </c>
      <c r="K593">
        <v>11</v>
      </c>
      <c r="L593" t="s">
        <v>38</v>
      </c>
      <c r="M593" t="s">
        <v>39</v>
      </c>
      <c r="N593" t="s">
        <v>23</v>
      </c>
    </row>
    <row r="594" spans="1:14" x14ac:dyDescent="0.3">
      <c r="A594" t="s">
        <v>351</v>
      </c>
      <c r="B594" t="s">
        <v>59</v>
      </c>
      <c r="C594" t="s">
        <v>60</v>
      </c>
      <c r="D594" t="s">
        <v>75</v>
      </c>
      <c r="E594" t="s">
        <v>460</v>
      </c>
      <c r="F594" t="s">
        <v>103</v>
      </c>
      <c r="G594">
        <v>1636000</v>
      </c>
      <c r="H594" s="1">
        <v>44285</v>
      </c>
      <c r="I594">
        <v>2021</v>
      </c>
      <c r="J594" t="s">
        <v>37</v>
      </c>
      <c r="K594">
        <v>3</v>
      </c>
      <c r="L594" t="s">
        <v>38</v>
      </c>
      <c r="M594" t="s">
        <v>30</v>
      </c>
      <c r="N594" t="s">
        <v>31</v>
      </c>
    </row>
    <row r="595" spans="1:14" x14ac:dyDescent="0.3">
      <c r="A595" t="s">
        <v>259</v>
      </c>
      <c r="B595" t="s">
        <v>42</v>
      </c>
      <c r="C595" t="s">
        <v>205</v>
      </c>
      <c r="D595" t="s">
        <v>27</v>
      </c>
      <c r="E595" t="s">
        <v>270</v>
      </c>
      <c r="F595" t="s">
        <v>103</v>
      </c>
      <c r="G595">
        <v>2550000</v>
      </c>
      <c r="H595" s="1">
        <v>44368</v>
      </c>
      <c r="I595">
        <v>2021</v>
      </c>
      <c r="J595" t="s">
        <v>141</v>
      </c>
      <c r="K595">
        <v>6</v>
      </c>
      <c r="L595" t="s">
        <v>38</v>
      </c>
      <c r="M595" t="s">
        <v>30</v>
      </c>
      <c r="N595" t="s">
        <v>47</v>
      </c>
    </row>
    <row r="596" spans="1:14" x14ac:dyDescent="0.3">
      <c r="A596" t="s">
        <v>455</v>
      </c>
      <c r="B596" t="s">
        <v>105</v>
      </c>
      <c r="C596" t="s">
        <v>345</v>
      </c>
      <c r="D596" t="s">
        <v>70</v>
      </c>
      <c r="E596" t="s">
        <v>548</v>
      </c>
      <c r="F596" t="s">
        <v>103</v>
      </c>
      <c r="G596">
        <v>11342000</v>
      </c>
      <c r="H596" s="1">
        <v>44830</v>
      </c>
      <c r="I596">
        <v>2022</v>
      </c>
      <c r="J596" t="s">
        <v>46</v>
      </c>
      <c r="K596">
        <v>9</v>
      </c>
      <c r="L596" t="s">
        <v>38</v>
      </c>
      <c r="M596" t="s">
        <v>39</v>
      </c>
      <c r="N596" t="s">
        <v>23</v>
      </c>
    </row>
    <row r="597" spans="1:14" x14ac:dyDescent="0.3">
      <c r="A597" t="s">
        <v>80</v>
      </c>
      <c r="B597" t="s">
        <v>94</v>
      </c>
      <c r="C597" t="s">
        <v>159</v>
      </c>
      <c r="D597" t="s">
        <v>96</v>
      </c>
      <c r="E597" t="s">
        <v>112</v>
      </c>
      <c r="F597" t="s">
        <v>36</v>
      </c>
      <c r="G597">
        <v>18607000</v>
      </c>
      <c r="H597" s="1">
        <v>45010</v>
      </c>
      <c r="I597">
        <v>2023</v>
      </c>
      <c r="J597" t="s">
        <v>37</v>
      </c>
      <c r="K597">
        <v>3</v>
      </c>
      <c r="L597" t="s">
        <v>38</v>
      </c>
      <c r="M597" t="s">
        <v>39</v>
      </c>
      <c r="N597" t="s">
        <v>40</v>
      </c>
    </row>
    <row r="598" spans="1:14" x14ac:dyDescent="0.3">
      <c r="A598" t="s">
        <v>360</v>
      </c>
      <c r="B598" t="s">
        <v>68</v>
      </c>
      <c r="C598" t="s">
        <v>69</v>
      </c>
      <c r="D598" t="s">
        <v>96</v>
      </c>
      <c r="E598" t="s">
        <v>549</v>
      </c>
      <c r="F598" t="s">
        <v>19</v>
      </c>
      <c r="G598">
        <v>587000</v>
      </c>
      <c r="H598" s="1">
        <v>44536</v>
      </c>
      <c r="I598">
        <v>2021</v>
      </c>
      <c r="J598" t="s">
        <v>99</v>
      </c>
      <c r="K598">
        <v>12</v>
      </c>
      <c r="L598" t="s">
        <v>21</v>
      </c>
      <c r="M598" t="s">
        <v>22</v>
      </c>
      <c r="N598" t="s">
        <v>31</v>
      </c>
    </row>
    <row r="599" spans="1:14" x14ac:dyDescent="0.3">
      <c r="A599" t="s">
        <v>296</v>
      </c>
      <c r="B599" t="s">
        <v>86</v>
      </c>
      <c r="C599" t="s">
        <v>339</v>
      </c>
      <c r="D599" t="s">
        <v>75</v>
      </c>
      <c r="E599" t="s">
        <v>18</v>
      </c>
      <c r="F599" t="s">
        <v>19</v>
      </c>
      <c r="G599">
        <v>94000</v>
      </c>
      <c r="H599" s="1">
        <v>43922</v>
      </c>
      <c r="I599">
        <v>2020</v>
      </c>
      <c r="J599" t="s">
        <v>20</v>
      </c>
      <c r="K599">
        <v>4</v>
      </c>
      <c r="L599" t="s">
        <v>21</v>
      </c>
      <c r="M599" t="s">
        <v>22</v>
      </c>
      <c r="N599" t="s">
        <v>47</v>
      </c>
    </row>
    <row r="600" spans="1:14" x14ac:dyDescent="0.3">
      <c r="A600" t="s">
        <v>468</v>
      </c>
      <c r="B600" t="s">
        <v>25</v>
      </c>
      <c r="C600" t="s">
        <v>171</v>
      </c>
      <c r="D600" t="s">
        <v>17</v>
      </c>
      <c r="E600" t="s">
        <v>518</v>
      </c>
      <c r="F600" t="s">
        <v>36</v>
      </c>
      <c r="G600">
        <v>8521000</v>
      </c>
      <c r="H600" s="1">
        <v>44328</v>
      </c>
      <c r="I600">
        <v>2021</v>
      </c>
      <c r="J600" t="s">
        <v>77</v>
      </c>
      <c r="K600">
        <v>5</v>
      </c>
      <c r="L600" t="s">
        <v>38</v>
      </c>
      <c r="M600" t="s">
        <v>30</v>
      </c>
      <c r="N600" t="s">
        <v>31</v>
      </c>
    </row>
    <row r="601" spans="1:14" x14ac:dyDescent="0.3">
      <c r="A601" t="s">
        <v>550</v>
      </c>
      <c r="B601" t="s">
        <v>25</v>
      </c>
      <c r="C601" t="s">
        <v>171</v>
      </c>
      <c r="D601" t="s">
        <v>34</v>
      </c>
      <c r="E601" t="s">
        <v>18</v>
      </c>
      <c r="F601" t="s">
        <v>103</v>
      </c>
      <c r="G601">
        <v>1117000</v>
      </c>
      <c r="H601" s="1">
        <v>43877</v>
      </c>
      <c r="I601">
        <v>2020</v>
      </c>
      <c r="J601" t="s">
        <v>108</v>
      </c>
      <c r="K601">
        <v>2</v>
      </c>
      <c r="L601" t="s">
        <v>38</v>
      </c>
      <c r="M601" t="s">
        <v>30</v>
      </c>
      <c r="N601" t="s">
        <v>31</v>
      </c>
    </row>
    <row r="602" spans="1:14" x14ac:dyDescent="0.3">
      <c r="A602" t="s">
        <v>427</v>
      </c>
      <c r="B602" t="s">
        <v>15</v>
      </c>
      <c r="C602" t="s">
        <v>110</v>
      </c>
      <c r="D602" t="s">
        <v>111</v>
      </c>
      <c r="E602" t="s">
        <v>140</v>
      </c>
      <c r="F602" t="s">
        <v>103</v>
      </c>
      <c r="G602">
        <v>1580000</v>
      </c>
      <c r="H602" s="1">
        <v>45325</v>
      </c>
      <c r="I602">
        <v>2024</v>
      </c>
      <c r="J602" t="s">
        <v>108</v>
      </c>
      <c r="K602">
        <v>2</v>
      </c>
      <c r="L602" t="s">
        <v>38</v>
      </c>
      <c r="M602" t="s">
        <v>30</v>
      </c>
      <c r="N602" t="s">
        <v>23</v>
      </c>
    </row>
    <row r="603" spans="1:14" x14ac:dyDescent="0.3">
      <c r="A603" t="s">
        <v>276</v>
      </c>
      <c r="B603" t="s">
        <v>68</v>
      </c>
      <c r="C603" t="s">
        <v>149</v>
      </c>
      <c r="D603" t="s">
        <v>111</v>
      </c>
      <c r="E603" t="s">
        <v>200</v>
      </c>
      <c r="F603" t="s">
        <v>117</v>
      </c>
      <c r="G603">
        <v>38000</v>
      </c>
      <c r="H603" s="1">
        <v>44179</v>
      </c>
      <c r="I603">
        <v>2020</v>
      </c>
      <c r="J603" t="s">
        <v>99</v>
      </c>
      <c r="K603">
        <v>12</v>
      </c>
      <c r="L603" t="s">
        <v>21</v>
      </c>
      <c r="M603" t="s">
        <v>22</v>
      </c>
      <c r="N603" t="s">
        <v>31</v>
      </c>
    </row>
    <row r="604" spans="1:14" x14ac:dyDescent="0.3">
      <c r="A604" t="s">
        <v>551</v>
      </c>
      <c r="B604" t="s">
        <v>49</v>
      </c>
      <c r="C604" t="s">
        <v>135</v>
      </c>
      <c r="D604" t="s">
        <v>17</v>
      </c>
      <c r="E604" t="s">
        <v>552</v>
      </c>
      <c r="F604" t="s">
        <v>56</v>
      </c>
      <c r="G604">
        <v>150000</v>
      </c>
      <c r="H604" s="1">
        <v>44386</v>
      </c>
      <c r="I604">
        <v>2021</v>
      </c>
      <c r="J604" t="s">
        <v>57</v>
      </c>
      <c r="K604">
        <v>7</v>
      </c>
      <c r="L604" t="s">
        <v>38</v>
      </c>
      <c r="M604" t="s">
        <v>22</v>
      </c>
      <c r="N604" t="s">
        <v>40</v>
      </c>
    </row>
    <row r="605" spans="1:14" x14ac:dyDescent="0.3">
      <c r="A605" t="s">
        <v>276</v>
      </c>
      <c r="B605" t="s">
        <v>94</v>
      </c>
      <c r="C605" t="s">
        <v>146</v>
      </c>
      <c r="D605" t="s">
        <v>136</v>
      </c>
      <c r="E605" t="s">
        <v>553</v>
      </c>
      <c r="F605" t="s">
        <v>19</v>
      </c>
      <c r="G605">
        <v>69000</v>
      </c>
      <c r="H605" s="1">
        <v>44610</v>
      </c>
      <c r="I605">
        <v>2022</v>
      </c>
      <c r="J605" t="s">
        <v>108</v>
      </c>
      <c r="K605">
        <v>2</v>
      </c>
      <c r="L605" t="s">
        <v>21</v>
      </c>
      <c r="M605" t="s">
        <v>22</v>
      </c>
      <c r="N605" t="s">
        <v>40</v>
      </c>
    </row>
    <row r="606" spans="1:14" x14ac:dyDescent="0.3">
      <c r="A606" t="s">
        <v>142</v>
      </c>
      <c r="B606" t="s">
        <v>126</v>
      </c>
      <c r="C606" t="s">
        <v>127</v>
      </c>
      <c r="D606" t="s">
        <v>17</v>
      </c>
      <c r="E606" t="s">
        <v>147</v>
      </c>
      <c r="F606" t="s">
        <v>19</v>
      </c>
      <c r="G606">
        <v>78000</v>
      </c>
      <c r="H606" s="1">
        <v>44856</v>
      </c>
      <c r="I606">
        <v>2022</v>
      </c>
      <c r="J606" t="s">
        <v>89</v>
      </c>
      <c r="K606">
        <v>10</v>
      </c>
      <c r="L606" t="s">
        <v>21</v>
      </c>
      <c r="M606" t="s">
        <v>22</v>
      </c>
      <c r="N606" t="s">
        <v>40</v>
      </c>
    </row>
    <row r="607" spans="1:14" x14ac:dyDescent="0.3">
      <c r="A607" t="s">
        <v>223</v>
      </c>
      <c r="B607" t="s">
        <v>15</v>
      </c>
      <c r="C607" t="s">
        <v>110</v>
      </c>
      <c r="D607" t="s">
        <v>96</v>
      </c>
      <c r="E607" t="s">
        <v>157</v>
      </c>
      <c r="F607" t="s">
        <v>103</v>
      </c>
      <c r="G607">
        <v>3483000</v>
      </c>
      <c r="H607" s="1">
        <v>45355</v>
      </c>
      <c r="I607">
        <v>2024</v>
      </c>
      <c r="J607" t="s">
        <v>37</v>
      </c>
      <c r="K607">
        <v>3</v>
      </c>
      <c r="L607" t="s">
        <v>38</v>
      </c>
      <c r="M607" t="s">
        <v>30</v>
      </c>
      <c r="N607" t="s">
        <v>23</v>
      </c>
    </row>
    <row r="608" spans="1:14" x14ac:dyDescent="0.3">
      <c r="A608" t="s">
        <v>176</v>
      </c>
      <c r="B608" t="s">
        <v>94</v>
      </c>
      <c r="C608" t="s">
        <v>95</v>
      </c>
      <c r="D608" t="s">
        <v>111</v>
      </c>
      <c r="E608" t="s">
        <v>554</v>
      </c>
      <c r="F608" t="s">
        <v>19</v>
      </c>
      <c r="G608">
        <v>107000</v>
      </c>
      <c r="H608" s="1">
        <v>43957</v>
      </c>
      <c r="I608">
        <v>2020</v>
      </c>
      <c r="J608" t="s">
        <v>77</v>
      </c>
      <c r="K608">
        <v>5</v>
      </c>
      <c r="L608" t="s">
        <v>21</v>
      </c>
      <c r="M608" t="s">
        <v>22</v>
      </c>
      <c r="N608" t="s">
        <v>40</v>
      </c>
    </row>
    <row r="609" spans="1:14" x14ac:dyDescent="0.3">
      <c r="A609" t="s">
        <v>481</v>
      </c>
      <c r="B609" t="s">
        <v>32</v>
      </c>
      <c r="C609" t="s">
        <v>138</v>
      </c>
      <c r="D609" t="s">
        <v>44</v>
      </c>
      <c r="E609" t="s">
        <v>483</v>
      </c>
      <c r="F609" t="s">
        <v>19</v>
      </c>
      <c r="G609">
        <v>192000</v>
      </c>
      <c r="H609" s="1">
        <v>45668</v>
      </c>
      <c r="I609">
        <v>2025</v>
      </c>
      <c r="J609" t="s">
        <v>29</v>
      </c>
      <c r="K609">
        <v>1</v>
      </c>
      <c r="L609" t="s">
        <v>21</v>
      </c>
      <c r="M609" t="s">
        <v>22</v>
      </c>
      <c r="N609" t="s">
        <v>40</v>
      </c>
    </row>
    <row r="610" spans="1:14" x14ac:dyDescent="0.3">
      <c r="A610" t="s">
        <v>214</v>
      </c>
      <c r="B610" t="s">
        <v>49</v>
      </c>
      <c r="C610" t="s">
        <v>50</v>
      </c>
      <c r="D610" t="s">
        <v>44</v>
      </c>
      <c r="E610" t="s">
        <v>183</v>
      </c>
      <c r="F610" t="s">
        <v>56</v>
      </c>
      <c r="G610">
        <v>319000</v>
      </c>
      <c r="H610" s="1">
        <v>45004</v>
      </c>
      <c r="I610">
        <v>2023</v>
      </c>
      <c r="J610" t="s">
        <v>37</v>
      </c>
      <c r="K610">
        <v>3</v>
      </c>
      <c r="L610" t="s">
        <v>38</v>
      </c>
      <c r="M610" t="s">
        <v>22</v>
      </c>
      <c r="N610" t="s">
        <v>40</v>
      </c>
    </row>
    <row r="611" spans="1:14" x14ac:dyDescent="0.3">
      <c r="A611" t="s">
        <v>237</v>
      </c>
      <c r="B611" t="s">
        <v>86</v>
      </c>
      <c r="C611" t="s">
        <v>339</v>
      </c>
      <c r="D611" t="s">
        <v>111</v>
      </c>
      <c r="E611" t="s">
        <v>258</v>
      </c>
      <c r="F611" t="s">
        <v>19</v>
      </c>
      <c r="G611">
        <v>638000</v>
      </c>
      <c r="H611" s="1">
        <v>45167</v>
      </c>
      <c r="I611">
        <v>2023</v>
      </c>
      <c r="J611" t="s">
        <v>153</v>
      </c>
      <c r="K611">
        <v>8</v>
      </c>
      <c r="L611" t="s">
        <v>21</v>
      </c>
      <c r="M611" t="s">
        <v>22</v>
      </c>
      <c r="N611" t="s">
        <v>47</v>
      </c>
    </row>
    <row r="612" spans="1:14" x14ac:dyDescent="0.3">
      <c r="A612" t="s">
        <v>342</v>
      </c>
      <c r="B612" t="s">
        <v>94</v>
      </c>
      <c r="C612" t="s">
        <v>146</v>
      </c>
      <c r="D612" t="s">
        <v>111</v>
      </c>
      <c r="E612" t="s">
        <v>315</v>
      </c>
      <c r="F612" t="s">
        <v>128</v>
      </c>
      <c r="G612">
        <v>6000</v>
      </c>
      <c r="H612" s="1">
        <v>44711</v>
      </c>
      <c r="I612">
        <v>2022</v>
      </c>
      <c r="J612" t="s">
        <v>77</v>
      </c>
      <c r="K612">
        <v>5</v>
      </c>
      <c r="L612" t="s">
        <v>21</v>
      </c>
      <c r="M612" t="s">
        <v>22</v>
      </c>
      <c r="N612" t="s">
        <v>40</v>
      </c>
    </row>
    <row r="613" spans="1:14" x14ac:dyDescent="0.3">
      <c r="A613" t="s">
        <v>100</v>
      </c>
      <c r="B613" t="s">
        <v>32</v>
      </c>
      <c r="C613" t="s">
        <v>101</v>
      </c>
      <c r="D613" t="s">
        <v>17</v>
      </c>
      <c r="E613" t="s">
        <v>140</v>
      </c>
      <c r="F613" t="s">
        <v>19</v>
      </c>
      <c r="G613">
        <v>954000</v>
      </c>
      <c r="H613" s="1">
        <v>45550</v>
      </c>
      <c r="I613">
        <v>2024</v>
      </c>
      <c r="J613" t="s">
        <v>46</v>
      </c>
      <c r="K613">
        <v>9</v>
      </c>
      <c r="L613" t="s">
        <v>21</v>
      </c>
      <c r="M613" t="s">
        <v>22</v>
      </c>
      <c r="N613" t="s">
        <v>40</v>
      </c>
    </row>
    <row r="614" spans="1:14" x14ac:dyDescent="0.3">
      <c r="A614" t="s">
        <v>355</v>
      </c>
      <c r="B614" t="s">
        <v>68</v>
      </c>
      <c r="C614" t="s">
        <v>69</v>
      </c>
      <c r="D614" t="s">
        <v>34</v>
      </c>
      <c r="E614" t="s">
        <v>555</v>
      </c>
      <c r="F614" t="s">
        <v>103</v>
      </c>
      <c r="G614">
        <v>5476000</v>
      </c>
      <c r="H614" s="1">
        <v>45743</v>
      </c>
      <c r="I614">
        <v>2025</v>
      </c>
      <c r="J614" t="s">
        <v>37</v>
      </c>
      <c r="K614">
        <v>3</v>
      </c>
      <c r="L614" t="s">
        <v>38</v>
      </c>
      <c r="M614" t="s">
        <v>30</v>
      </c>
      <c r="N614" t="s">
        <v>31</v>
      </c>
    </row>
    <row r="615" spans="1:14" x14ac:dyDescent="0.3">
      <c r="A615" t="s">
        <v>52</v>
      </c>
      <c r="B615" t="s">
        <v>81</v>
      </c>
      <c r="C615" t="s">
        <v>82</v>
      </c>
      <c r="D615" t="s">
        <v>75</v>
      </c>
      <c r="E615" t="s">
        <v>217</v>
      </c>
      <c r="F615" t="s">
        <v>19</v>
      </c>
      <c r="G615">
        <v>68000</v>
      </c>
      <c r="H615" s="1">
        <v>44992</v>
      </c>
      <c r="I615">
        <v>2023</v>
      </c>
      <c r="J615" t="s">
        <v>37</v>
      </c>
      <c r="K615">
        <v>3</v>
      </c>
      <c r="L615" t="s">
        <v>21</v>
      </c>
      <c r="M615" t="s">
        <v>22</v>
      </c>
      <c r="N615" t="s">
        <v>84</v>
      </c>
    </row>
    <row r="616" spans="1:14" x14ac:dyDescent="0.3">
      <c r="A616" t="s">
        <v>285</v>
      </c>
      <c r="B616" t="s">
        <v>25</v>
      </c>
      <c r="C616" t="s">
        <v>168</v>
      </c>
      <c r="D616" t="s">
        <v>54</v>
      </c>
      <c r="E616" t="s">
        <v>443</v>
      </c>
      <c r="F616" t="s">
        <v>103</v>
      </c>
      <c r="G616">
        <v>10651000</v>
      </c>
      <c r="H616" s="1">
        <v>45069</v>
      </c>
      <c r="I616">
        <v>2023</v>
      </c>
      <c r="J616" t="s">
        <v>77</v>
      </c>
      <c r="K616">
        <v>5</v>
      </c>
      <c r="L616" t="s">
        <v>38</v>
      </c>
      <c r="M616" t="s">
        <v>39</v>
      </c>
      <c r="N616" t="s">
        <v>31</v>
      </c>
    </row>
    <row r="617" spans="1:14" x14ac:dyDescent="0.3">
      <c r="A617" t="s">
        <v>395</v>
      </c>
      <c r="B617" t="s">
        <v>105</v>
      </c>
      <c r="C617" t="s">
        <v>345</v>
      </c>
      <c r="D617" t="s">
        <v>44</v>
      </c>
      <c r="E617" t="s">
        <v>234</v>
      </c>
      <c r="F617" t="s">
        <v>19</v>
      </c>
      <c r="G617">
        <v>1494000</v>
      </c>
      <c r="H617" s="1">
        <v>44667</v>
      </c>
      <c r="I617">
        <v>2022</v>
      </c>
      <c r="J617" t="s">
        <v>20</v>
      </c>
      <c r="K617">
        <v>4</v>
      </c>
      <c r="L617" t="s">
        <v>21</v>
      </c>
      <c r="M617" t="s">
        <v>30</v>
      </c>
      <c r="N617" t="s">
        <v>23</v>
      </c>
    </row>
    <row r="618" spans="1:14" x14ac:dyDescent="0.3">
      <c r="A618" t="s">
        <v>360</v>
      </c>
      <c r="B618" t="s">
        <v>15</v>
      </c>
      <c r="C618" t="s">
        <v>16</v>
      </c>
      <c r="D618" t="s">
        <v>44</v>
      </c>
      <c r="E618" t="s">
        <v>521</v>
      </c>
      <c r="F618" t="s">
        <v>19</v>
      </c>
      <c r="G618">
        <v>63000</v>
      </c>
      <c r="H618" s="1">
        <v>45729</v>
      </c>
      <c r="I618">
        <v>2025</v>
      </c>
      <c r="J618" t="s">
        <v>37</v>
      </c>
      <c r="K618">
        <v>3</v>
      </c>
      <c r="L618" t="s">
        <v>21</v>
      </c>
      <c r="M618" t="s">
        <v>22</v>
      </c>
      <c r="N618" t="s">
        <v>23</v>
      </c>
    </row>
    <row r="619" spans="1:14" x14ac:dyDescent="0.3">
      <c r="A619" t="s">
        <v>267</v>
      </c>
      <c r="B619" t="s">
        <v>15</v>
      </c>
      <c r="C619" t="s">
        <v>53</v>
      </c>
      <c r="D619" t="s">
        <v>136</v>
      </c>
      <c r="E619" t="s">
        <v>556</v>
      </c>
      <c r="F619" t="s">
        <v>132</v>
      </c>
      <c r="G619">
        <v>42331000</v>
      </c>
      <c r="H619" s="1">
        <v>45076</v>
      </c>
      <c r="I619">
        <v>2023</v>
      </c>
      <c r="J619" t="s">
        <v>77</v>
      </c>
      <c r="K619">
        <v>5</v>
      </c>
      <c r="L619" t="s">
        <v>65</v>
      </c>
      <c r="M619" t="s">
        <v>39</v>
      </c>
      <c r="N619" t="s">
        <v>23</v>
      </c>
    </row>
    <row r="620" spans="1:14" x14ac:dyDescent="0.3">
      <c r="A620" t="s">
        <v>313</v>
      </c>
      <c r="B620" t="s">
        <v>42</v>
      </c>
      <c r="C620" t="s">
        <v>43</v>
      </c>
      <c r="D620" t="s">
        <v>27</v>
      </c>
      <c r="E620" t="s">
        <v>306</v>
      </c>
      <c r="F620" t="s">
        <v>64</v>
      </c>
      <c r="G620">
        <v>419740000</v>
      </c>
      <c r="H620" s="1">
        <v>44334</v>
      </c>
      <c r="I620">
        <v>2021</v>
      </c>
      <c r="J620" t="s">
        <v>77</v>
      </c>
      <c r="K620">
        <v>5</v>
      </c>
      <c r="L620" t="s">
        <v>65</v>
      </c>
      <c r="M620" t="s">
        <v>66</v>
      </c>
      <c r="N620" t="s">
        <v>47</v>
      </c>
    </row>
    <row r="621" spans="1:14" x14ac:dyDescent="0.3">
      <c r="A621" t="s">
        <v>223</v>
      </c>
      <c r="B621" t="s">
        <v>32</v>
      </c>
      <c r="C621" t="s">
        <v>138</v>
      </c>
      <c r="D621" t="s">
        <v>111</v>
      </c>
      <c r="E621" t="s">
        <v>63</v>
      </c>
      <c r="F621" t="s">
        <v>132</v>
      </c>
      <c r="G621">
        <v>151723000</v>
      </c>
      <c r="H621" s="1">
        <v>45802</v>
      </c>
      <c r="I621">
        <v>2025</v>
      </c>
      <c r="J621" t="s">
        <v>77</v>
      </c>
      <c r="K621">
        <v>5</v>
      </c>
      <c r="L621" t="s">
        <v>65</v>
      </c>
      <c r="M621" t="s">
        <v>66</v>
      </c>
      <c r="N621" t="s">
        <v>40</v>
      </c>
    </row>
    <row r="622" spans="1:14" x14ac:dyDescent="0.3">
      <c r="A622" t="s">
        <v>235</v>
      </c>
      <c r="B622" t="s">
        <v>68</v>
      </c>
      <c r="C622" t="s">
        <v>69</v>
      </c>
      <c r="D622" t="s">
        <v>34</v>
      </c>
      <c r="E622" t="s">
        <v>258</v>
      </c>
      <c r="F622" t="s">
        <v>103</v>
      </c>
      <c r="G622">
        <v>1648000</v>
      </c>
      <c r="H622" s="1">
        <v>44696</v>
      </c>
      <c r="I622">
        <v>2022</v>
      </c>
      <c r="J622" t="s">
        <v>77</v>
      </c>
      <c r="K622">
        <v>5</v>
      </c>
      <c r="L622" t="s">
        <v>38</v>
      </c>
      <c r="M622" t="s">
        <v>30</v>
      </c>
      <c r="N622" t="s">
        <v>31</v>
      </c>
    </row>
    <row r="623" spans="1:14" x14ac:dyDescent="0.3">
      <c r="A623" t="s">
        <v>48</v>
      </c>
      <c r="B623" t="s">
        <v>25</v>
      </c>
      <c r="C623" t="s">
        <v>26</v>
      </c>
      <c r="D623" t="s">
        <v>54</v>
      </c>
      <c r="E623" t="s">
        <v>322</v>
      </c>
      <c r="F623" t="s">
        <v>103</v>
      </c>
      <c r="G623">
        <v>1763000</v>
      </c>
      <c r="H623" s="1">
        <v>45154</v>
      </c>
      <c r="I623">
        <v>2023</v>
      </c>
      <c r="J623" t="s">
        <v>153</v>
      </c>
      <c r="K623">
        <v>8</v>
      </c>
      <c r="L623" t="s">
        <v>38</v>
      </c>
      <c r="M623" t="s">
        <v>30</v>
      </c>
      <c r="N623" t="s">
        <v>31</v>
      </c>
    </row>
    <row r="624" spans="1:14" x14ac:dyDescent="0.3">
      <c r="A624" t="s">
        <v>287</v>
      </c>
      <c r="B624" t="s">
        <v>25</v>
      </c>
      <c r="C624" t="s">
        <v>26</v>
      </c>
      <c r="D624" t="s">
        <v>54</v>
      </c>
      <c r="E624" t="s">
        <v>557</v>
      </c>
      <c r="F624" t="s">
        <v>56</v>
      </c>
      <c r="G624">
        <v>235000</v>
      </c>
      <c r="H624" s="1">
        <v>44493</v>
      </c>
      <c r="I624">
        <v>2021</v>
      </c>
      <c r="J624" t="s">
        <v>89</v>
      </c>
      <c r="K624">
        <v>10</v>
      </c>
      <c r="L624" t="s">
        <v>38</v>
      </c>
      <c r="M624" t="s">
        <v>22</v>
      </c>
      <c r="N624" t="s">
        <v>31</v>
      </c>
    </row>
    <row r="625" spans="1:14" x14ac:dyDescent="0.3">
      <c r="A625" t="s">
        <v>342</v>
      </c>
      <c r="B625" t="s">
        <v>186</v>
      </c>
      <c r="C625" t="s">
        <v>341</v>
      </c>
      <c r="D625" t="s">
        <v>96</v>
      </c>
      <c r="E625" t="s">
        <v>558</v>
      </c>
      <c r="F625" t="s">
        <v>36</v>
      </c>
      <c r="G625">
        <v>19160000</v>
      </c>
      <c r="H625" s="1">
        <v>45688</v>
      </c>
      <c r="I625">
        <v>2025</v>
      </c>
      <c r="J625" t="s">
        <v>29</v>
      </c>
      <c r="K625">
        <v>1</v>
      </c>
      <c r="L625" t="s">
        <v>38</v>
      </c>
      <c r="M625" t="s">
        <v>39</v>
      </c>
      <c r="N625" t="s">
        <v>31</v>
      </c>
    </row>
    <row r="626" spans="1:14" x14ac:dyDescent="0.3">
      <c r="A626" t="s">
        <v>191</v>
      </c>
      <c r="B626" t="s">
        <v>25</v>
      </c>
      <c r="C626" t="s">
        <v>168</v>
      </c>
      <c r="D626" t="s">
        <v>96</v>
      </c>
      <c r="E626" t="s">
        <v>263</v>
      </c>
      <c r="F626" t="s">
        <v>19</v>
      </c>
      <c r="G626">
        <v>489000</v>
      </c>
      <c r="H626" s="1">
        <v>45279</v>
      </c>
      <c r="I626">
        <v>2023</v>
      </c>
      <c r="J626" t="s">
        <v>99</v>
      </c>
      <c r="K626">
        <v>12</v>
      </c>
      <c r="L626" t="s">
        <v>21</v>
      </c>
      <c r="M626" t="s">
        <v>22</v>
      </c>
      <c r="N626" t="s">
        <v>31</v>
      </c>
    </row>
    <row r="627" spans="1:14" x14ac:dyDescent="0.3">
      <c r="A627" t="s">
        <v>100</v>
      </c>
      <c r="B627" t="s">
        <v>68</v>
      </c>
      <c r="C627" t="s">
        <v>324</v>
      </c>
      <c r="D627" t="s">
        <v>54</v>
      </c>
      <c r="E627" t="s">
        <v>559</v>
      </c>
      <c r="F627" t="s">
        <v>128</v>
      </c>
      <c r="G627">
        <v>15000</v>
      </c>
      <c r="H627" s="1">
        <v>44989</v>
      </c>
      <c r="I627">
        <v>2023</v>
      </c>
      <c r="J627" t="s">
        <v>37</v>
      </c>
      <c r="K627">
        <v>3</v>
      </c>
      <c r="L627" t="s">
        <v>21</v>
      </c>
      <c r="M627" t="s">
        <v>22</v>
      </c>
      <c r="N627" t="s">
        <v>31</v>
      </c>
    </row>
    <row r="628" spans="1:14" x14ac:dyDescent="0.3">
      <c r="A628" t="s">
        <v>48</v>
      </c>
      <c r="B628" t="s">
        <v>68</v>
      </c>
      <c r="C628" t="s">
        <v>69</v>
      </c>
      <c r="D628" t="s">
        <v>34</v>
      </c>
      <c r="E628" t="s">
        <v>107</v>
      </c>
      <c r="F628" t="s">
        <v>36</v>
      </c>
      <c r="G628">
        <v>18027000</v>
      </c>
      <c r="H628" s="1">
        <v>45799</v>
      </c>
      <c r="I628">
        <v>2025</v>
      </c>
      <c r="J628" t="s">
        <v>77</v>
      </c>
      <c r="K628">
        <v>5</v>
      </c>
      <c r="L628" t="s">
        <v>38</v>
      </c>
      <c r="M628" t="s">
        <v>39</v>
      </c>
      <c r="N628" t="s">
        <v>31</v>
      </c>
    </row>
    <row r="629" spans="1:14" x14ac:dyDescent="0.3">
      <c r="A629" t="s">
        <v>259</v>
      </c>
      <c r="B629" t="s">
        <v>81</v>
      </c>
      <c r="C629" t="s">
        <v>82</v>
      </c>
      <c r="D629" t="s">
        <v>34</v>
      </c>
      <c r="E629" t="s">
        <v>150</v>
      </c>
      <c r="F629" t="s">
        <v>117</v>
      </c>
      <c r="G629">
        <v>112000</v>
      </c>
      <c r="H629" s="1">
        <v>44850</v>
      </c>
      <c r="I629">
        <v>2022</v>
      </c>
      <c r="J629" t="s">
        <v>89</v>
      </c>
      <c r="K629">
        <v>10</v>
      </c>
      <c r="L629" t="s">
        <v>21</v>
      </c>
      <c r="M629" t="s">
        <v>22</v>
      </c>
      <c r="N629" t="s">
        <v>84</v>
      </c>
    </row>
    <row r="630" spans="1:14" x14ac:dyDescent="0.3">
      <c r="A630" t="s">
        <v>161</v>
      </c>
      <c r="B630" t="s">
        <v>126</v>
      </c>
      <c r="C630" t="s">
        <v>127</v>
      </c>
      <c r="D630" t="s">
        <v>70</v>
      </c>
      <c r="E630" t="s">
        <v>258</v>
      </c>
      <c r="F630" t="s">
        <v>103</v>
      </c>
      <c r="G630">
        <v>1104000</v>
      </c>
      <c r="H630" s="1">
        <v>44735</v>
      </c>
      <c r="I630">
        <v>2022</v>
      </c>
      <c r="J630" t="s">
        <v>141</v>
      </c>
      <c r="K630">
        <v>6</v>
      </c>
      <c r="L630" t="s">
        <v>38</v>
      </c>
      <c r="M630" t="s">
        <v>30</v>
      </c>
      <c r="N630" t="s">
        <v>40</v>
      </c>
    </row>
    <row r="631" spans="1:14" x14ac:dyDescent="0.3">
      <c r="A631" t="s">
        <v>507</v>
      </c>
      <c r="B631" t="s">
        <v>32</v>
      </c>
      <c r="C631" t="s">
        <v>138</v>
      </c>
      <c r="D631" t="s">
        <v>75</v>
      </c>
      <c r="E631" t="s">
        <v>121</v>
      </c>
      <c r="F631" t="s">
        <v>103</v>
      </c>
      <c r="G631">
        <v>1981000</v>
      </c>
      <c r="H631" s="1">
        <v>45510</v>
      </c>
      <c r="I631">
        <v>2024</v>
      </c>
      <c r="J631" t="s">
        <v>153</v>
      </c>
      <c r="K631">
        <v>8</v>
      </c>
      <c r="L631" t="s">
        <v>38</v>
      </c>
      <c r="M631" t="s">
        <v>30</v>
      </c>
      <c r="N631" t="s">
        <v>40</v>
      </c>
    </row>
    <row r="632" spans="1:14" x14ac:dyDescent="0.3">
      <c r="A632" t="s">
        <v>560</v>
      </c>
      <c r="B632" t="s">
        <v>86</v>
      </c>
      <c r="C632" t="s">
        <v>283</v>
      </c>
      <c r="D632" t="s">
        <v>54</v>
      </c>
      <c r="E632" t="s">
        <v>561</v>
      </c>
      <c r="F632" t="s">
        <v>175</v>
      </c>
      <c r="G632">
        <v>258416000</v>
      </c>
      <c r="H632" s="1">
        <v>45197</v>
      </c>
      <c r="I632">
        <v>2023</v>
      </c>
      <c r="J632" t="s">
        <v>46</v>
      </c>
      <c r="K632">
        <v>9</v>
      </c>
      <c r="L632" t="s">
        <v>65</v>
      </c>
      <c r="M632" t="s">
        <v>66</v>
      </c>
      <c r="N632" t="s">
        <v>47</v>
      </c>
    </row>
    <row r="633" spans="1:14" x14ac:dyDescent="0.3">
      <c r="A633" t="s">
        <v>198</v>
      </c>
      <c r="B633" t="s">
        <v>81</v>
      </c>
      <c r="C633" t="s">
        <v>250</v>
      </c>
      <c r="D633" t="s">
        <v>136</v>
      </c>
      <c r="E633" t="s">
        <v>562</v>
      </c>
      <c r="F633" t="s">
        <v>92</v>
      </c>
      <c r="G633">
        <v>26070000</v>
      </c>
      <c r="H633" s="1">
        <v>44161</v>
      </c>
      <c r="I633">
        <v>2020</v>
      </c>
      <c r="J633" t="s">
        <v>72</v>
      </c>
      <c r="K633">
        <v>11</v>
      </c>
      <c r="L633" t="s">
        <v>65</v>
      </c>
      <c r="M633" t="s">
        <v>39</v>
      </c>
      <c r="N633" t="s">
        <v>84</v>
      </c>
    </row>
    <row r="634" spans="1:14" x14ac:dyDescent="0.3">
      <c r="A634" t="s">
        <v>129</v>
      </c>
      <c r="B634" t="s">
        <v>25</v>
      </c>
      <c r="C634" t="s">
        <v>26</v>
      </c>
      <c r="D634" t="s">
        <v>96</v>
      </c>
      <c r="E634" t="s">
        <v>301</v>
      </c>
      <c r="F634" t="s">
        <v>128</v>
      </c>
      <c r="G634">
        <v>23000</v>
      </c>
      <c r="H634" s="1">
        <v>44021</v>
      </c>
      <c r="I634">
        <v>2020</v>
      </c>
      <c r="J634" t="s">
        <v>57</v>
      </c>
      <c r="K634">
        <v>7</v>
      </c>
      <c r="L634" t="s">
        <v>21</v>
      </c>
      <c r="M634" t="s">
        <v>22</v>
      </c>
      <c r="N634" t="s">
        <v>31</v>
      </c>
    </row>
    <row r="635" spans="1:14" x14ac:dyDescent="0.3">
      <c r="A635" t="s">
        <v>214</v>
      </c>
      <c r="B635" t="s">
        <v>59</v>
      </c>
      <c r="C635" t="s">
        <v>149</v>
      </c>
      <c r="D635" t="s">
        <v>111</v>
      </c>
      <c r="E635" t="s">
        <v>231</v>
      </c>
      <c r="F635" t="s">
        <v>19</v>
      </c>
      <c r="G635">
        <v>356000</v>
      </c>
      <c r="H635" s="1">
        <v>44795</v>
      </c>
      <c r="I635">
        <v>2022</v>
      </c>
      <c r="J635" t="s">
        <v>153</v>
      </c>
      <c r="K635">
        <v>8</v>
      </c>
      <c r="L635" t="s">
        <v>21</v>
      </c>
      <c r="M635" t="s">
        <v>22</v>
      </c>
      <c r="N635" t="s">
        <v>31</v>
      </c>
    </row>
    <row r="636" spans="1:14" x14ac:dyDescent="0.3">
      <c r="A636" t="s">
        <v>201</v>
      </c>
      <c r="B636" t="s">
        <v>68</v>
      </c>
      <c r="C636" t="s">
        <v>149</v>
      </c>
      <c r="D636" t="s">
        <v>44</v>
      </c>
      <c r="E636" t="s">
        <v>112</v>
      </c>
      <c r="F636" t="s">
        <v>36</v>
      </c>
      <c r="G636">
        <v>6730000</v>
      </c>
      <c r="H636" s="1">
        <v>45084</v>
      </c>
      <c r="I636">
        <v>2023</v>
      </c>
      <c r="J636" t="s">
        <v>141</v>
      </c>
      <c r="K636">
        <v>6</v>
      </c>
      <c r="L636" t="s">
        <v>38</v>
      </c>
      <c r="M636" t="s">
        <v>30</v>
      </c>
      <c r="N636" t="s">
        <v>31</v>
      </c>
    </row>
    <row r="637" spans="1:14" x14ac:dyDescent="0.3">
      <c r="A637" t="s">
        <v>198</v>
      </c>
      <c r="B637" t="s">
        <v>42</v>
      </c>
      <c r="C637" t="s">
        <v>205</v>
      </c>
      <c r="D637" t="s">
        <v>75</v>
      </c>
      <c r="E637" t="s">
        <v>183</v>
      </c>
      <c r="F637" t="s">
        <v>128</v>
      </c>
      <c r="G637">
        <v>19000</v>
      </c>
      <c r="H637" s="1">
        <v>45278</v>
      </c>
      <c r="I637">
        <v>2023</v>
      </c>
      <c r="J637" t="s">
        <v>99</v>
      </c>
      <c r="K637">
        <v>12</v>
      </c>
      <c r="L637" t="s">
        <v>21</v>
      </c>
      <c r="M637" t="s">
        <v>22</v>
      </c>
      <c r="N637" t="s">
        <v>47</v>
      </c>
    </row>
    <row r="638" spans="1:14" x14ac:dyDescent="0.3">
      <c r="A638" t="s">
        <v>355</v>
      </c>
      <c r="B638" t="s">
        <v>126</v>
      </c>
      <c r="C638" t="s">
        <v>127</v>
      </c>
      <c r="D638" t="s">
        <v>96</v>
      </c>
      <c r="E638" t="s">
        <v>424</v>
      </c>
      <c r="F638" t="s">
        <v>128</v>
      </c>
      <c r="G638">
        <v>25000</v>
      </c>
      <c r="H638" s="1">
        <v>45089</v>
      </c>
      <c r="I638">
        <v>2023</v>
      </c>
      <c r="J638" t="s">
        <v>141</v>
      </c>
      <c r="K638">
        <v>6</v>
      </c>
      <c r="L638" t="s">
        <v>21</v>
      </c>
      <c r="M638" t="s">
        <v>22</v>
      </c>
      <c r="N638" t="s">
        <v>40</v>
      </c>
    </row>
    <row r="639" spans="1:14" x14ac:dyDescent="0.3">
      <c r="A639" t="s">
        <v>233</v>
      </c>
      <c r="B639" t="s">
        <v>42</v>
      </c>
      <c r="C639" t="s">
        <v>182</v>
      </c>
      <c r="D639" t="s">
        <v>75</v>
      </c>
      <c r="E639" t="s">
        <v>157</v>
      </c>
      <c r="F639" t="s">
        <v>19</v>
      </c>
      <c r="G639">
        <v>122000</v>
      </c>
      <c r="H639" s="1">
        <v>44425</v>
      </c>
      <c r="I639">
        <v>2021</v>
      </c>
      <c r="J639" t="s">
        <v>153</v>
      </c>
      <c r="K639">
        <v>8</v>
      </c>
      <c r="L639" t="s">
        <v>21</v>
      </c>
      <c r="M639" t="s">
        <v>22</v>
      </c>
      <c r="N639" t="s">
        <v>47</v>
      </c>
    </row>
    <row r="640" spans="1:14" x14ac:dyDescent="0.3">
      <c r="A640" t="s">
        <v>285</v>
      </c>
      <c r="B640" t="s">
        <v>59</v>
      </c>
      <c r="C640" t="s">
        <v>123</v>
      </c>
      <c r="D640" t="s">
        <v>44</v>
      </c>
      <c r="E640" t="s">
        <v>563</v>
      </c>
      <c r="F640" t="s">
        <v>132</v>
      </c>
      <c r="G640">
        <v>41465000</v>
      </c>
      <c r="H640" s="1">
        <v>44680</v>
      </c>
      <c r="I640">
        <v>2022</v>
      </c>
      <c r="J640" t="s">
        <v>20</v>
      </c>
      <c r="K640">
        <v>4</v>
      </c>
      <c r="L640" t="s">
        <v>65</v>
      </c>
      <c r="M640" t="s">
        <v>39</v>
      </c>
      <c r="N640" t="s">
        <v>31</v>
      </c>
    </row>
    <row r="641" spans="1:14" x14ac:dyDescent="0.3">
      <c r="A641" t="s">
        <v>427</v>
      </c>
      <c r="B641" t="s">
        <v>81</v>
      </c>
      <c r="C641" t="s">
        <v>130</v>
      </c>
      <c r="D641" t="s">
        <v>34</v>
      </c>
      <c r="E641" t="s">
        <v>200</v>
      </c>
      <c r="F641" t="s">
        <v>19</v>
      </c>
      <c r="G641">
        <v>201000</v>
      </c>
      <c r="H641" s="1">
        <v>43969</v>
      </c>
      <c r="I641">
        <v>2020</v>
      </c>
      <c r="J641" t="s">
        <v>77</v>
      </c>
      <c r="K641">
        <v>5</v>
      </c>
      <c r="L641" t="s">
        <v>21</v>
      </c>
      <c r="M641" t="s">
        <v>22</v>
      </c>
      <c r="N641" t="s">
        <v>84</v>
      </c>
    </row>
    <row r="642" spans="1:14" x14ac:dyDescent="0.3">
      <c r="A642" t="s">
        <v>332</v>
      </c>
      <c r="B642" t="s">
        <v>186</v>
      </c>
      <c r="C642" t="s">
        <v>341</v>
      </c>
      <c r="D642" t="s">
        <v>96</v>
      </c>
      <c r="E642" t="s">
        <v>363</v>
      </c>
      <c r="F642" t="s">
        <v>56</v>
      </c>
      <c r="G642">
        <v>105000</v>
      </c>
      <c r="H642" s="1">
        <v>44996</v>
      </c>
      <c r="I642">
        <v>2023</v>
      </c>
      <c r="J642" t="s">
        <v>37</v>
      </c>
      <c r="K642">
        <v>3</v>
      </c>
      <c r="L642" t="s">
        <v>38</v>
      </c>
      <c r="M642" t="s">
        <v>22</v>
      </c>
      <c r="N642" t="s">
        <v>31</v>
      </c>
    </row>
    <row r="643" spans="1:14" x14ac:dyDescent="0.3">
      <c r="A643" t="s">
        <v>148</v>
      </c>
      <c r="B643" t="s">
        <v>86</v>
      </c>
      <c r="C643" t="s">
        <v>339</v>
      </c>
      <c r="D643" t="s">
        <v>70</v>
      </c>
      <c r="E643" t="s">
        <v>226</v>
      </c>
      <c r="F643" t="s">
        <v>132</v>
      </c>
      <c r="G643">
        <v>47844000</v>
      </c>
      <c r="H643" s="1">
        <v>45153</v>
      </c>
      <c r="I643">
        <v>2023</v>
      </c>
      <c r="J643" t="s">
        <v>153</v>
      </c>
      <c r="K643">
        <v>8</v>
      </c>
      <c r="L643" t="s">
        <v>65</v>
      </c>
      <c r="M643" t="s">
        <v>39</v>
      </c>
      <c r="N643" t="s">
        <v>47</v>
      </c>
    </row>
    <row r="644" spans="1:14" x14ac:dyDescent="0.3">
      <c r="A644" t="s">
        <v>372</v>
      </c>
      <c r="B644" t="s">
        <v>32</v>
      </c>
      <c r="C644" t="s">
        <v>138</v>
      </c>
      <c r="D644" t="s">
        <v>70</v>
      </c>
      <c r="E644" t="s">
        <v>564</v>
      </c>
      <c r="F644" t="s">
        <v>132</v>
      </c>
      <c r="G644">
        <v>35458000</v>
      </c>
      <c r="H644" s="1">
        <v>44678</v>
      </c>
      <c r="I644">
        <v>2022</v>
      </c>
      <c r="J644" t="s">
        <v>20</v>
      </c>
      <c r="K644">
        <v>4</v>
      </c>
      <c r="L644" t="s">
        <v>65</v>
      </c>
      <c r="M644" t="s">
        <v>39</v>
      </c>
      <c r="N644" t="s">
        <v>40</v>
      </c>
    </row>
    <row r="645" spans="1:14" x14ac:dyDescent="0.3">
      <c r="A645" t="s">
        <v>142</v>
      </c>
      <c r="B645" t="s">
        <v>81</v>
      </c>
      <c r="C645" t="s">
        <v>130</v>
      </c>
      <c r="D645" t="s">
        <v>75</v>
      </c>
      <c r="E645" t="s">
        <v>121</v>
      </c>
      <c r="F645" t="s">
        <v>36</v>
      </c>
      <c r="G645">
        <v>12397000</v>
      </c>
      <c r="H645" s="1">
        <v>45468</v>
      </c>
      <c r="I645">
        <v>2024</v>
      </c>
      <c r="J645" t="s">
        <v>141</v>
      </c>
      <c r="K645">
        <v>6</v>
      </c>
      <c r="L645" t="s">
        <v>38</v>
      </c>
      <c r="M645" t="s">
        <v>39</v>
      </c>
      <c r="N645" t="s">
        <v>84</v>
      </c>
    </row>
    <row r="646" spans="1:14" x14ac:dyDescent="0.3">
      <c r="A646" t="s">
        <v>120</v>
      </c>
      <c r="B646" t="s">
        <v>81</v>
      </c>
      <c r="C646" t="s">
        <v>319</v>
      </c>
      <c r="D646" t="s">
        <v>136</v>
      </c>
      <c r="E646" t="s">
        <v>192</v>
      </c>
      <c r="F646" t="s">
        <v>103</v>
      </c>
      <c r="G646">
        <v>1383000</v>
      </c>
      <c r="H646" s="1">
        <v>45556</v>
      </c>
      <c r="I646">
        <v>2024</v>
      </c>
      <c r="J646" t="s">
        <v>46</v>
      </c>
      <c r="K646">
        <v>9</v>
      </c>
      <c r="L646" t="s">
        <v>38</v>
      </c>
      <c r="M646" t="s">
        <v>30</v>
      </c>
      <c r="N646" t="s">
        <v>84</v>
      </c>
    </row>
    <row r="647" spans="1:14" x14ac:dyDescent="0.3">
      <c r="A647" t="s">
        <v>395</v>
      </c>
      <c r="B647" t="s">
        <v>186</v>
      </c>
      <c r="C647" t="s">
        <v>341</v>
      </c>
      <c r="D647" t="s">
        <v>96</v>
      </c>
      <c r="E647" t="s">
        <v>373</v>
      </c>
      <c r="F647" t="s">
        <v>36</v>
      </c>
      <c r="G647">
        <v>59057000</v>
      </c>
      <c r="H647" s="1">
        <v>44387</v>
      </c>
      <c r="I647">
        <v>2021</v>
      </c>
      <c r="J647" t="s">
        <v>57</v>
      </c>
      <c r="K647">
        <v>7</v>
      </c>
      <c r="L647" t="s">
        <v>38</v>
      </c>
      <c r="M647" t="s">
        <v>39</v>
      </c>
      <c r="N647" t="s">
        <v>31</v>
      </c>
    </row>
    <row r="648" spans="1:14" x14ac:dyDescent="0.3">
      <c r="A648" t="s">
        <v>468</v>
      </c>
      <c r="B648" t="s">
        <v>94</v>
      </c>
      <c r="C648" t="s">
        <v>95</v>
      </c>
      <c r="D648" t="s">
        <v>111</v>
      </c>
      <c r="E648" t="s">
        <v>51</v>
      </c>
      <c r="F648" t="s">
        <v>19</v>
      </c>
      <c r="G648">
        <v>447000</v>
      </c>
      <c r="H648" s="1">
        <v>44060</v>
      </c>
      <c r="I648">
        <v>2020</v>
      </c>
      <c r="J648" t="s">
        <v>153</v>
      </c>
      <c r="K648">
        <v>8</v>
      </c>
      <c r="L648" t="s">
        <v>21</v>
      </c>
      <c r="M648" t="s">
        <v>22</v>
      </c>
      <c r="N648" t="s">
        <v>40</v>
      </c>
    </row>
    <row r="649" spans="1:14" x14ac:dyDescent="0.3">
      <c r="A649" t="s">
        <v>342</v>
      </c>
      <c r="B649" t="s">
        <v>42</v>
      </c>
      <c r="C649" t="s">
        <v>205</v>
      </c>
      <c r="D649" t="s">
        <v>27</v>
      </c>
      <c r="E649" t="s">
        <v>565</v>
      </c>
      <c r="F649" t="s">
        <v>132</v>
      </c>
      <c r="G649">
        <v>125810000</v>
      </c>
      <c r="H649" s="1">
        <v>45684</v>
      </c>
      <c r="I649">
        <v>2025</v>
      </c>
      <c r="J649" t="s">
        <v>29</v>
      </c>
      <c r="K649">
        <v>1</v>
      </c>
      <c r="L649" t="s">
        <v>65</v>
      </c>
      <c r="M649" t="s">
        <v>66</v>
      </c>
      <c r="N649" t="s">
        <v>47</v>
      </c>
    </row>
    <row r="650" spans="1:14" x14ac:dyDescent="0.3">
      <c r="A650" t="s">
        <v>239</v>
      </c>
      <c r="B650" t="s">
        <v>32</v>
      </c>
      <c r="C650" t="s">
        <v>138</v>
      </c>
      <c r="D650" t="s">
        <v>96</v>
      </c>
      <c r="E650" t="s">
        <v>242</v>
      </c>
      <c r="F650" t="s">
        <v>19</v>
      </c>
      <c r="G650">
        <v>919000</v>
      </c>
      <c r="H650" s="1">
        <v>45616</v>
      </c>
      <c r="I650">
        <v>2024</v>
      </c>
      <c r="J650" t="s">
        <v>72</v>
      </c>
      <c r="K650">
        <v>11</v>
      </c>
      <c r="L650" t="s">
        <v>21</v>
      </c>
      <c r="M650" t="s">
        <v>22</v>
      </c>
      <c r="N650" t="s">
        <v>40</v>
      </c>
    </row>
    <row r="651" spans="1:14" x14ac:dyDescent="0.3">
      <c r="A651" t="s">
        <v>259</v>
      </c>
      <c r="B651" t="s">
        <v>81</v>
      </c>
      <c r="C651" t="s">
        <v>90</v>
      </c>
      <c r="D651" t="s">
        <v>136</v>
      </c>
      <c r="E651" t="s">
        <v>157</v>
      </c>
      <c r="F651" t="s">
        <v>36</v>
      </c>
      <c r="G651">
        <v>19914000</v>
      </c>
      <c r="H651" s="1">
        <v>44900</v>
      </c>
      <c r="I651">
        <v>2022</v>
      </c>
      <c r="J651" t="s">
        <v>99</v>
      </c>
      <c r="K651">
        <v>12</v>
      </c>
      <c r="L651" t="s">
        <v>38</v>
      </c>
      <c r="M651" t="s">
        <v>39</v>
      </c>
      <c r="N651" t="s">
        <v>84</v>
      </c>
    </row>
    <row r="652" spans="1:14" x14ac:dyDescent="0.3">
      <c r="A652" t="s">
        <v>292</v>
      </c>
      <c r="B652" t="s">
        <v>126</v>
      </c>
      <c r="C652" t="s">
        <v>159</v>
      </c>
      <c r="D652" t="s">
        <v>96</v>
      </c>
      <c r="E652" t="s">
        <v>91</v>
      </c>
      <c r="F652" t="s">
        <v>103</v>
      </c>
      <c r="G652">
        <v>1265000</v>
      </c>
      <c r="H652" s="1">
        <v>43925</v>
      </c>
      <c r="I652">
        <v>2020</v>
      </c>
      <c r="J652" t="s">
        <v>20</v>
      </c>
      <c r="K652">
        <v>4</v>
      </c>
      <c r="L652" t="s">
        <v>38</v>
      </c>
      <c r="M652" t="s">
        <v>30</v>
      </c>
      <c r="N652" t="s">
        <v>40</v>
      </c>
    </row>
    <row r="653" spans="1:14" x14ac:dyDescent="0.3">
      <c r="A653" t="s">
        <v>566</v>
      </c>
      <c r="B653" t="s">
        <v>59</v>
      </c>
      <c r="C653" t="s">
        <v>149</v>
      </c>
      <c r="D653" t="s">
        <v>44</v>
      </c>
      <c r="E653" t="s">
        <v>200</v>
      </c>
      <c r="F653" t="s">
        <v>19</v>
      </c>
      <c r="G653">
        <v>363000</v>
      </c>
      <c r="H653" s="1">
        <v>44225</v>
      </c>
      <c r="I653">
        <v>2021</v>
      </c>
      <c r="J653" t="s">
        <v>29</v>
      </c>
      <c r="K653">
        <v>1</v>
      </c>
      <c r="L653" t="s">
        <v>21</v>
      </c>
      <c r="M653" t="s">
        <v>22</v>
      </c>
      <c r="N653" t="s">
        <v>31</v>
      </c>
    </row>
    <row r="654" spans="1:14" x14ac:dyDescent="0.3">
      <c r="A654" t="s">
        <v>355</v>
      </c>
      <c r="B654" t="s">
        <v>49</v>
      </c>
      <c r="C654" t="s">
        <v>135</v>
      </c>
      <c r="D654" t="s">
        <v>34</v>
      </c>
      <c r="E654" t="s">
        <v>157</v>
      </c>
      <c r="F654" t="s">
        <v>19</v>
      </c>
      <c r="G654">
        <v>436000</v>
      </c>
      <c r="H654" s="1">
        <v>44391</v>
      </c>
      <c r="I654">
        <v>2021</v>
      </c>
      <c r="J654" t="s">
        <v>57</v>
      </c>
      <c r="K654">
        <v>7</v>
      </c>
      <c r="L654" t="s">
        <v>21</v>
      </c>
      <c r="M654" t="s">
        <v>22</v>
      </c>
      <c r="N654" t="s">
        <v>40</v>
      </c>
    </row>
    <row r="655" spans="1:14" x14ac:dyDescent="0.3">
      <c r="A655" t="s">
        <v>104</v>
      </c>
      <c r="B655" t="s">
        <v>15</v>
      </c>
      <c r="C655" t="s">
        <v>110</v>
      </c>
      <c r="D655" t="s">
        <v>111</v>
      </c>
      <c r="E655" t="s">
        <v>567</v>
      </c>
      <c r="F655" t="s">
        <v>19</v>
      </c>
      <c r="G655">
        <v>782000</v>
      </c>
      <c r="H655" s="1">
        <v>44120</v>
      </c>
      <c r="I655">
        <v>2020</v>
      </c>
      <c r="J655" t="s">
        <v>89</v>
      </c>
      <c r="K655">
        <v>10</v>
      </c>
      <c r="L655" t="s">
        <v>21</v>
      </c>
      <c r="M655" t="s">
        <v>22</v>
      </c>
      <c r="N655" t="s">
        <v>23</v>
      </c>
    </row>
    <row r="656" spans="1:14" x14ac:dyDescent="0.3">
      <c r="A656" t="s">
        <v>237</v>
      </c>
      <c r="B656" t="s">
        <v>86</v>
      </c>
      <c r="C656" t="s">
        <v>339</v>
      </c>
      <c r="D656" t="s">
        <v>27</v>
      </c>
      <c r="E656" t="s">
        <v>568</v>
      </c>
      <c r="F656" t="s">
        <v>19</v>
      </c>
      <c r="G656">
        <v>246000</v>
      </c>
      <c r="H656" s="1">
        <v>44795</v>
      </c>
      <c r="I656">
        <v>2022</v>
      </c>
      <c r="J656" t="s">
        <v>153</v>
      </c>
      <c r="K656">
        <v>8</v>
      </c>
      <c r="L656" t="s">
        <v>21</v>
      </c>
      <c r="M656" t="s">
        <v>22</v>
      </c>
      <c r="N656" t="s">
        <v>47</v>
      </c>
    </row>
    <row r="657" spans="1:14" x14ac:dyDescent="0.3">
      <c r="A657" t="s">
        <v>351</v>
      </c>
      <c r="B657" t="s">
        <v>126</v>
      </c>
      <c r="C657" t="s">
        <v>127</v>
      </c>
      <c r="D657" t="s">
        <v>70</v>
      </c>
      <c r="E657" t="s">
        <v>242</v>
      </c>
      <c r="F657" t="s">
        <v>103</v>
      </c>
      <c r="G657">
        <v>1413000</v>
      </c>
      <c r="H657" s="1">
        <v>44470</v>
      </c>
      <c r="I657">
        <v>2021</v>
      </c>
      <c r="J657" t="s">
        <v>89</v>
      </c>
      <c r="K657">
        <v>10</v>
      </c>
      <c r="L657" t="s">
        <v>38</v>
      </c>
      <c r="M657" t="s">
        <v>30</v>
      </c>
      <c r="N657" t="s">
        <v>40</v>
      </c>
    </row>
    <row r="658" spans="1:14" x14ac:dyDescent="0.3">
      <c r="A658" t="s">
        <v>309</v>
      </c>
      <c r="B658" t="s">
        <v>59</v>
      </c>
      <c r="C658" t="s">
        <v>149</v>
      </c>
      <c r="D658" t="s">
        <v>75</v>
      </c>
      <c r="E658" t="s">
        <v>569</v>
      </c>
      <c r="F658" t="s">
        <v>19</v>
      </c>
      <c r="G658">
        <v>142000</v>
      </c>
      <c r="H658" s="1">
        <v>45495</v>
      </c>
      <c r="I658">
        <v>2024</v>
      </c>
      <c r="J658" t="s">
        <v>57</v>
      </c>
      <c r="K658">
        <v>7</v>
      </c>
      <c r="L658" t="s">
        <v>21</v>
      </c>
      <c r="M658" t="s">
        <v>22</v>
      </c>
      <c r="N658" t="s">
        <v>31</v>
      </c>
    </row>
    <row r="659" spans="1:14" x14ac:dyDescent="0.3">
      <c r="A659" t="s">
        <v>221</v>
      </c>
      <c r="B659" t="s">
        <v>42</v>
      </c>
      <c r="C659" t="s">
        <v>182</v>
      </c>
      <c r="D659" t="s">
        <v>44</v>
      </c>
      <c r="E659" t="s">
        <v>570</v>
      </c>
      <c r="F659" t="s">
        <v>19</v>
      </c>
      <c r="G659">
        <v>191000</v>
      </c>
      <c r="H659" s="1">
        <v>45665</v>
      </c>
      <c r="I659">
        <v>2025</v>
      </c>
      <c r="J659" t="s">
        <v>29</v>
      </c>
      <c r="K659">
        <v>1</v>
      </c>
      <c r="L659" t="s">
        <v>21</v>
      </c>
      <c r="M659" t="s">
        <v>22</v>
      </c>
      <c r="N659" t="s">
        <v>47</v>
      </c>
    </row>
    <row r="660" spans="1:14" x14ac:dyDescent="0.3">
      <c r="A660" t="s">
        <v>287</v>
      </c>
      <c r="B660" t="s">
        <v>49</v>
      </c>
      <c r="C660" t="s">
        <v>225</v>
      </c>
      <c r="D660" t="s">
        <v>96</v>
      </c>
      <c r="E660" t="s">
        <v>226</v>
      </c>
      <c r="F660" t="s">
        <v>103</v>
      </c>
      <c r="G660">
        <v>5750000</v>
      </c>
      <c r="H660" s="1">
        <v>43892</v>
      </c>
      <c r="I660">
        <v>2020</v>
      </c>
      <c r="J660" t="s">
        <v>37</v>
      </c>
      <c r="K660">
        <v>3</v>
      </c>
      <c r="L660" t="s">
        <v>38</v>
      </c>
      <c r="M660" t="s">
        <v>30</v>
      </c>
      <c r="N660" t="s">
        <v>40</v>
      </c>
    </row>
    <row r="661" spans="1:14" x14ac:dyDescent="0.3">
      <c r="A661" t="s">
        <v>185</v>
      </c>
      <c r="B661" t="s">
        <v>114</v>
      </c>
      <c r="C661" t="s">
        <v>156</v>
      </c>
      <c r="D661" t="s">
        <v>34</v>
      </c>
      <c r="E661" t="s">
        <v>169</v>
      </c>
      <c r="F661" t="s">
        <v>132</v>
      </c>
      <c r="G661">
        <v>93825000</v>
      </c>
      <c r="H661" s="1">
        <v>45068</v>
      </c>
      <c r="I661">
        <v>2023</v>
      </c>
      <c r="J661" t="s">
        <v>77</v>
      </c>
      <c r="K661">
        <v>5</v>
      </c>
      <c r="L661" t="s">
        <v>65</v>
      </c>
      <c r="M661" t="s">
        <v>39</v>
      </c>
      <c r="N661" t="s">
        <v>47</v>
      </c>
    </row>
    <row r="662" spans="1:14" x14ac:dyDescent="0.3">
      <c r="A662" t="s">
        <v>52</v>
      </c>
      <c r="B662" t="s">
        <v>49</v>
      </c>
      <c r="C662" t="s">
        <v>135</v>
      </c>
      <c r="D662" t="s">
        <v>34</v>
      </c>
      <c r="E662" t="s">
        <v>571</v>
      </c>
      <c r="F662" t="s">
        <v>103</v>
      </c>
      <c r="G662">
        <v>2623000</v>
      </c>
      <c r="H662" s="1">
        <v>44651</v>
      </c>
      <c r="I662">
        <v>2022</v>
      </c>
      <c r="J662" t="s">
        <v>37</v>
      </c>
      <c r="K662">
        <v>3</v>
      </c>
      <c r="L662" t="s">
        <v>38</v>
      </c>
      <c r="M662" t="s">
        <v>30</v>
      </c>
      <c r="N662" t="s">
        <v>40</v>
      </c>
    </row>
    <row r="663" spans="1:14" x14ac:dyDescent="0.3">
      <c r="A663" t="s">
        <v>100</v>
      </c>
      <c r="B663" t="s">
        <v>68</v>
      </c>
      <c r="C663" t="s">
        <v>324</v>
      </c>
      <c r="D663" t="s">
        <v>96</v>
      </c>
      <c r="E663" t="s">
        <v>572</v>
      </c>
      <c r="F663" t="s">
        <v>19</v>
      </c>
      <c r="G663">
        <v>1903000</v>
      </c>
      <c r="H663" s="1">
        <v>45252</v>
      </c>
      <c r="I663">
        <v>2023</v>
      </c>
      <c r="J663" t="s">
        <v>72</v>
      </c>
      <c r="K663">
        <v>11</v>
      </c>
      <c r="L663" t="s">
        <v>21</v>
      </c>
      <c r="M663" t="s">
        <v>30</v>
      </c>
      <c r="N663" t="s">
        <v>31</v>
      </c>
    </row>
    <row r="664" spans="1:14" x14ac:dyDescent="0.3">
      <c r="A664" t="s">
        <v>305</v>
      </c>
      <c r="B664" t="s">
        <v>15</v>
      </c>
      <c r="C664" t="s">
        <v>16</v>
      </c>
      <c r="D664" t="s">
        <v>17</v>
      </c>
      <c r="E664" t="s">
        <v>573</v>
      </c>
      <c r="F664" t="s">
        <v>36</v>
      </c>
      <c r="G664">
        <v>26816000</v>
      </c>
      <c r="H664" s="1">
        <v>45288</v>
      </c>
      <c r="I664">
        <v>2023</v>
      </c>
      <c r="J664" t="s">
        <v>99</v>
      </c>
      <c r="K664">
        <v>12</v>
      </c>
      <c r="L664" t="s">
        <v>38</v>
      </c>
      <c r="M664" t="s">
        <v>39</v>
      </c>
      <c r="N664" t="s">
        <v>23</v>
      </c>
    </row>
    <row r="665" spans="1:14" x14ac:dyDescent="0.3">
      <c r="A665" t="s">
        <v>328</v>
      </c>
      <c r="B665" t="s">
        <v>186</v>
      </c>
      <c r="C665" t="s">
        <v>60</v>
      </c>
      <c r="D665" t="s">
        <v>54</v>
      </c>
      <c r="E665" t="s">
        <v>258</v>
      </c>
      <c r="F665" t="s">
        <v>19</v>
      </c>
      <c r="G665">
        <v>120000</v>
      </c>
      <c r="H665" s="1">
        <v>44662</v>
      </c>
      <c r="I665">
        <v>2022</v>
      </c>
      <c r="J665" t="s">
        <v>20</v>
      </c>
      <c r="K665">
        <v>4</v>
      </c>
      <c r="L665" t="s">
        <v>21</v>
      </c>
      <c r="M665" t="s">
        <v>22</v>
      </c>
      <c r="N665" t="s">
        <v>31</v>
      </c>
    </row>
    <row r="666" spans="1:14" x14ac:dyDescent="0.3">
      <c r="A666" t="s">
        <v>214</v>
      </c>
      <c r="B666" t="s">
        <v>49</v>
      </c>
      <c r="C666" t="s">
        <v>50</v>
      </c>
      <c r="D666" t="s">
        <v>27</v>
      </c>
      <c r="E666" t="s">
        <v>369</v>
      </c>
      <c r="F666" t="s">
        <v>19</v>
      </c>
      <c r="G666">
        <v>73000</v>
      </c>
      <c r="H666" s="1">
        <v>45504</v>
      </c>
      <c r="I666">
        <v>2024</v>
      </c>
      <c r="J666" t="s">
        <v>57</v>
      </c>
      <c r="K666">
        <v>7</v>
      </c>
      <c r="L666" t="s">
        <v>21</v>
      </c>
      <c r="M666" t="s">
        <v>22</v>
      </c>
      <c r="N666" t="s">
        <v>40</v>
      </c>
    </row>
    <row r="667" spans="1:14" x14ac:dyDescent="0.3">
      <c r="A667" t="s">
        <v>67</v>
      </c>
      <c r="B667" t="s">
        <v>59</v>
      </c>
      <c r="C667" t="s">
        <v>123</v>
      </c>
      <c r="D667" t="s">
        <v>54</v>
      </c>
      <c r="E667" t="s">
        <v>426</v>
      </c>
      <c r="F667" t="s">
        <v>103</v>
      </c>
      <c r="G667">
        <v>1513000</v>
      </c>
      <c r="H667" s="1">
        <v>44427</v>
      </c>
      <c r="I667">
        <v>2021</v>
      </c>
      <c r="J667" t="s">
        <v>153</v>
      </c>
      <c r="K667">
        <v>8</v>
      </c>
      <c r="L667" t="s">
        <v>38</v>
      </c>
      <c r="M667" t="s">
        <v>30</v>
      </c>
      <c r="N667" t="s">
        <v>31</v>
      </c>
    </row>
    <row r="668" spans="1:14" x14ac:dyDescent="0.3">
      <c r="A668" t="s">
        <v>85</v>
      </c>
      <c r="B668" t="s">
        <v>86</v>
      </c>
      <c r="C668" t="s">
        <v>228</v>
      </c>
      <c r="D668" t="s">
        <v>75</v>
      </c>
      <c r="E668" t="s">
        <v>369</v>
      </c>
      <c r="F668" t="s">
        <v>132</v>
      </c>
      <c r="G668">
        <v>38931000</v>
      </c>
      <c r="H668" s="1">
        <v>45222</v>
      </c>
      <c r="I668">
        <v>2023</v>
      </c>
      <c r="J668" t="s">
        <v>89</v>
      </c>
      <c r="K668">
        <v>10</v>
      </c>
      <c r="L668" t="s">
        <v>65</v>
      </c>
      <c r="M668" t="s">
        <v>39</v>
      </c>
      <c r="N668" t="s">
        <v>47</v>
      </c>
    </row>
    <row r="669" spans="1:14" x14ac:dyDescent="0.3">
      <c r="A669" t="s">
        <v>455</v>
      </c>
      <c r="B669" t="s">
        <v>86</v>
      </c>
      <c r="C669" t="s">
        <v>283</v>
      </c>
      <c r="D669" t="s">
        <v>75</v>
      </c>
      <c r="E669" t="s">
        <v>28</v>
      </c>
      <c r="F669" t="s">
        <v>117</v>
      </c>
      <c r="G669">
        <v>29000</v>
      </c>
      <c r="H669" s="1">
        <v>44876</v>
      </c>
      <c r="I669">
        <v>2022</v>
      </c>
      <c r="J669" t="s">
        <v>72</v>
      </c>
      <c r="K669">
        <v>11</v>
      </c>
      <c r="L669" t="s">
        <v>21</v>
      </c>
      <c r="M669" t="s">
        <v>22</v>
      </c>
      <c r="N669" t="s">
        <v>47</v>
      </c>
    </row>
    <row r="670" spans="1:14" x14ac:dyDescent="0.3">
      <c r="A670" t="s">
        <v>368</v>
      </c>
      <c r="B670" t="s">
        <v>32</v>
      </c>
      <c r="C670" t="s">
        <v>33</v>
      </c>
      <c r="D670" t="s">
        <v>27</v>
      </c>
      <c r="E670" t="s">
        <v>112</v>
      </c>
      <c r="F670" t="s">
        <v>36</v>
      </c>
      <c r="G670">
        <v>8387000</v>
      </c>
      <c r="H670" s="1">
        <v>45511</v>
      </c>
      <c r="I670">
        <v>2024</v>
      </c>
      <c r="J670" t="s">
        <v>153</v>
      </c>
      <c r="K670">
        <v>8</v>
      </c>
      <c r="L670" t="s">
        <v>38</v>
      </c>
      <c r="M670" t="s">
        <v>30</v>
      </c>
      <c r="N670" t="s">
        <v>40</v>
      </c>
    </row>
    <row r="671" spans="1:14" x14ac:dyDescent="0.3">
      <c r="A671" t="s">
        <v>210</v>
      </c>
      <c r="B671" t="s">
        <v>15</v>
      </c>
      <c r="C671" t="s">
        <v>53</v>
      </c>
      <c r="D671" t="s">
        <v>75</v>
      </c>
      <c r="E671" t="s">
        <v>574</v>
      </c>
      <c r="F671" t="s">
        <v>56</v>
      </c>
      <c r="G671">
        <v>193000</v>
      </c>
      <c r="H671" s="1">
        <v>44482</v>
      </c>
      <c r="I671">
        <v>2021</v>
      </c>
      <c r="J671" t="s">
        <v>89</v>
      </c>
      <c r="K671">
        <v>10</v>
      </c>
      <c r="L671" t="s">
        <v>38</v>
      </c>
      <c r="M671" t="s">
        <v>22</v>
      </c>
      <c r="N671" t="s">
        <v>23</v>
      </c>
    </row>
    <row r="672" spans="1:14" x14ac:dyDescent="0.3">
      <c r="A672" t="s">
        <v>370</v>
      </c>
      <c r="B672" t="s">
        <v>42</v>
      </c>
      <c r="C672" t="s">
        <v>182</v>
      </c>
      <c r="D672" t="s">
        <v>44</v>
      </c>
      <c r="E672" t="s">
        <v>242</v>
      </c>
      <c r="F672" t="s">
        <v>103</v>
      </c>
      <c r="G672">
        <v>1599000</v>
      </c>
      <c r="H672" s="1">
        <v>45558</v>
      </c>
      <c r="I672">
        <v>2024</v>
      </c>
      <c r="J672" t="s">
        <v>46</v>
      </c>
      <c r="K672">
        <v>9</v>
      </c>
      <c r="L672" t="s">
        <v>38</v>
      </c>
      <c r="M672" t="s">
        <v>30</v>
      </c>
      <c r="N672" t="s">
        <v>47</v>
      </c>
    </row>
    <row r="673" spans="1:14" x14ac:dyDescent="0.3">
      <c r="A673" t="s">
        <v>73</v>
      </c>
      <c r="B673" t="s">
        <v>114</v>
      </c>
      <c r="C673" t="s">
        <v>243</v>
      </c>
      <c r="D673" t="s">
        <v>54</v>
      </c>
      <c r="E673" t="s">
        <v>575</v>
      </c>
      <c r="F673" t="s">
        <v>19</v>
      </c>
      <c r="G673">
        <v>1367000</v>
      </c>
      <c r="H673" s="1">
        <v>43977</v>
      </c>
      <c r="I673">
        <v>2020</v>
      </c>
      <c r="J673" t="s">
        <v>77</v>
      </c>
      <c r="K673">
        <v>5</v>
      </c>
      <c r="L673" t="s">
        <v>21</v>
      </c>
      <c r="M673" t="s">
        <v>30</v>
      </c>
      <c r="N673" t="s">
        <v>47</v>
      </c>
    </row>
    <row r="674" spans="1:14" x14ac:dyDescent="0.3">
      <c r="A674" t="s">
        <v>455</v>
      </c>
      <c r="B674" t="s">
        <v>105</v>
      </c>
      <c r="C674" t="s">
        <v>162</v>
      </c>
      <c r="D674" t="s">
        <v>54</v>
      </c>
      <c r="E674" t="s">
        <v>576</v>
      </c>
      <c r="F674" t="s">
        <v>36</v>
      </c>
      <c r="G674">
        <v>6246000</v>
      </c>
      <c r="H674" s="1">
        <v>44682</v>
      </c>
      <c r="I674">
        <v>2022</v>
      </c>
      <c r="J674" t="s">
        <v>77</v>
      </c>
      <c r="K674">
        <v>5</v>
      </c>
      <c r="L674" t="s">
        <v>38</v>
      </c>
      <c r="M674" t="s">
        <v>30</v>
      </c>
      <c r="N674" t="s">
        <v>23</v>
      </c>
    </row>
    <row r="675" spans="1:14" x14ac:dyDescent="0.3">
      <c r="A675" t="s">
        <v>113</v>
      </c>
      <c r="B675" t="s">
        <v>126</v>
      </c>
      <c r="C675" t="s">
        <v>159</v>
      </c>
      <c r="D675" t="s">
        <v>70</v>
      </c>
      <c r="E675" t="s">
        <v>533</v>
      </c>
      <c r="F675" t="s">
        <v>103</v>
      </c>
      <c r="G675">
        <v>4139000</v>
      </c>
      <c r="H675" s="1">
        <v>44961</v>
      </c>
      <c r="I675">
        <v>2023</v>
      </c>
      <c r="J675" t="s">
        <v>108</v>
      </c>
      <c r="K675">
        <v>2</v>
      </c>
      <c r="L675" t="s">
        <v>38</v>
      </c>
      <c r="M675" t="s">
        <v>30</v>
      </c>
      <c r="N675" t="s">
        <v>40</v>
      </c>
    </row>
    <row r="676" spans="1:14" x14ac:dyDescent="0.3">
      <c r="A676" t="s">
        <v>113</v>
      </c>
      <c r="B676" t="s">
        <v>126</v>
      </c>
      <c r="C676" t="s">
        <v>159</v>
      </c>
      <c r="D676" t="s">
        <v>75</v>
      </c>
      <c r="E676" t="s">
        <v>140</v>
      </c>
      <c r="F676" t="s">
        <v>103</v>
      </c>
      <c r="G676">
        <v>3039000</v>
      </c>
      <c r="H676" s="1">
        <v>45327</v>
      </c>
      <c r="I676">
        <v>2024</v>
      </c>
      <c r="J676" t="s">
        <v>108</v>
      </c>
      <c r="K676">
        <v>2</v>
      </c>
      <c r="L676" t="s">
        <v>38</v>
      </c>
      <c r="M676" t="s">
        <v>30</v>
      </c>
      <c r="N676" t="s">
        <v>40</v>
      </c>
    </row>
    <row r="677" spans="1:14" x14ac:dyDescent="0.3">
      <c r="A677" t="s">
        <v>331</v>
      </c>
      <c r="B677" t="s">
        <v>32</v>
      </c>
      <c r="C677" t="s">
        <v>101</v>
      </c>
      <c r="D677" t="s">
        <v>96</v>
      </c>
      <c r="E677" t="s">
        <v>577</v>
      </c>
      <c r="F677" t="s">
        <v>117</v>
      </c>
      <c r="G677">
        <v>192000</v>
      </c>
      <c r="H677" s="1">
        <v>43908</v>
      </c>
      <c r="I677">
        <v>2020</v>
      </c>
      <c r="J677" t="s">
        <v>37</v>
      </c>
      <c r="K677">
        <v>3</v>
      </c>
      <c r="L677" t="s">
        <v>21</v>
      </c>
      <c r="M677" t="s">
        <v>22</v>
      </c>
      <c r="N677" t="s">
        <v>40</v>
      </c>
    </row>
    <row r="678" spans="1:14" x14ac:dyDescent="0.3">
      <c r="A678" t="s">
        <v>239</v>
      </c>
      <c r="B678" t="s">
        <v>186</v>
      </c>
      <c r="C678" t="s">
        <v>127</v>
      </c>
      <c r="D678" t="s">
        <v>111</v>
      </c>
      <c r="E678" t="s">
        <v>226</v>
      </c>
      <c r="F678" t="s">
        <v>92</v>
      </c>
      <c r="G678">
        <v>201000</v>
      </c>
      <c r="H678" s="1">
        <v>45368</v>
      </c>
      <c r="I678">
        <v>2024</v>
      </c>
      <c r="J678" t="s">
        <v>37</v>
      </c>
      <c r="K678">
        <v>3</v>
      </c>
      <c r="L678" t="s">
        <v>65</v>
      </c>
      <c r="M678" t="s">
        <v>22</v>
      </c>
      <c r="N678" t="s">
        <v>31</v>
      </c>
    </row>
    <row r="679" spans="1:14" x14ac:dyDescent="0.3">
      <c r="A679" t="s">
        <v>309</v>
      </c>
      <c r="B679" t="s">
        <v>126</v>
      </c>
      <c r="C679" t="s">
        <v>159</v>
      </c>
      <c r="D679" t="s">
        <v>44</v>
      </c>
      <c r="E679" t="s">
        <v>578</v>
      </c>
      <c r="F679" t="s">
        <v>103</v>
      </c>
      <c r="G679">
        <v>2937000</v>
      </c>
      <c r="H679" s="1">
        <v>45349</v>
      </c>
      <c r="I679">
        <v>2024</v>
      </c>
      <c r="J679" t="s">
        <v>108</v>
      </c>
      <c r="K679">
        <v>2</v>
      </c>
      <c r="L679" t="s">
        <v>38</v>
      </c>
      <c r="M679" t="s">
        <v>30</v>
      </c>
      <c r="N679" t="s">
        <v>40</v>
      </c>
    </row>
    <row r="680" spans="1:14" x14ac:dyDescent="0.3">
      <c r="A680" t="s">
        <v>237</v>
      </c>
      <c r="B680" t="s">
        <v>86</v>
      </c>
      <c r="C680" t="s">
        <v>283</v>
      </c>
      <c r="D680" t="s">
        <v>70</v>
      </c>
      <c r="E680" t="s">
        <v>349</v>
      </c>
      <c r="F680" t="s">
        <v>103</v>
      </c>
      <c r="G680">
        <v>13810000</v>
      </c>
      <c r="H680" s="1">
        <v>45686</v>
      </c>
      <c r="I680">
        <v>2025</v>
      </c>
      <c r="J680" t="s">
        <v>29</v>
      </c>
      <c r="K680">
        <v>1</v>
      </c>
      <c r="L680" t="s">
        <v>38</v>
      </c>
      <c r="M680" t="s">
        <v>39</v>
      </c>
      <c r="N680" t="s">
        <v>47</v>
      </c>
    </row>
    <row r="681" spans="1:14" x14ac:dyDescent="0.3">
      <c r="A681" t="s">
        <v>176</v>
      </c>
      <c r="B681" t="s">
        <v>59</v>
      </c>
      <c r="C681" t="s">
        <v>149</v>
      </c>
      <c r="D681" t="s">
        <v>34</v>
      </c>
      <c r="E681" t="s">
        <v>579</v>
      </c>
      <c r="F681" t="s">
        <v>19</v>
      </c>
      <c r="G681">
        <v>1218000</v>
      </c>
      <c r="H681" s="1">
        <v>45254</v>
      </c>
      <c r="I681">
        <v>2023</v>
      </c>
      <c r="J681" t="s">
        <v>72</v>
      </c>
      <c r="K681">
        <v>11</v>
      </c>
      <c r="L681" t="s">
        <v>21</v>
      </c>
      <c r="M681" t="s">
        <v>30</v>
      </c>
      <c r="N681" t="s">
        <v>31</v>
      </c>
    </row>
    <row r="682" spans="1:14" x14ac:dyDescent="0.3">
      <c r="A682" t="s">
        <v>139</v>
      </c>
      <c r="B682" t="s">
        <v>81</v>
      </c>
      <c r="C682" t="s">
        <v>90</v>
      </c>
      <c r="D682" t="s">
        <v>75</v>
      </c>
      <c r="E682" t="s">
        <v>580</v>
      </c>
      <c r="F682" t="s">
        <v>19</v>
      </c>
      <c r="G682">
        <v>1019000</v>
      </c>
      <c r="H682" s="1">
        <v>43936</v>
      </c>
      <c r="I682">
        <v>2020</v>
      </c>
      <c r="J682" t="s">
        <v>20</v>
      </c>
      <c r="K682">
        <v>4</v>
      </c>
      <c r="L682" t="s">
        <v>21</v>
      </c>
      <c r="M682" t="s">
        <v>30</v>
      </c>
      <c r="N682" t="s">
        <v>84</v>
      </c>
    </row>
    <row r="683" spans="1:14" x14ac:dyDescent="0.3">
      <c r="A683" t="s">
        <v>151</v>
      </c>
      <c r="B683" t="s">
        <v>105</v>
      </c>
      <c r="C683" t="s">
        <v>162</v>
      </c>
      <c r="D683" t="s">
        <v>34</v>
      </c>
      <c r="E683" t="s">
        <v>200</v>
      </c>
      <c r="F683" t="s">
        <v>19</v>
      </c>
      <c r="G683">
        <v>129000</v>
      </c>
      <c r="H683" s="1">
        <v>45092</v>
      </c>
      <c r="I683">
        <v>2023</v>
      </c>
      <c r="J683" t="s">
        <v>141</v>
      </c>
      <c r="K683">
        <v>6</v>
      </c>
      <c r="L683" t="s">
        <v>21</v>
      </c>
      <c r="M683" t="s">
        <v>22</v>
      </c>
      <c r="N683" t="s">
        <v>23</v>
      </c>
    </row>
    <row r="684" spans="1:14" x14ac:dyDescent="0.3">
      <c r="A684" t="s">
        <v>581</v>
      </c>
      <c r="B684" t="s">
        <v>186</v>
      </c>
      <c r="C684" t="s">
        <v>149</v>
      </c>
      <c r="D684" t="s">
        <v>54</v>
      </c>
      <c r="E684" t="s">
        <v>315</v>
      </c>
      <c r="F684" t="s">
        <v>128</v>
      </c>
      <c r="G684">
        <v>8000</v>
      </c>
      <c r="H684" s="1">
        <v>45344</v>
      </c>
      <c r="I684">
        <v>2024</v>
      </c>
      <c r="J684" t="s">
        <v>108</v>
      </c>
      <c r="K684">
        <v>2</v>
      </c>
      <c r="L684" t="s">
        <v>21</v>
      </c>
      <c r="M684" t="s">
        <v>22</v>
      </c>
      <c r="N684" t="s">
        <v>31</v>
      </c>
    </row>
    <row r="685" spans="1:14" x14ac:dyDescent="0.3">
      <c r="A685" t="s">
        <v>204</v>
      </c>
      <c r="B685" t="s">
        <v>59</v>
      </c>
      <c r="C685" t="s">
        <v>123</v>
      </c>
      <c r="D685" t="s">
        <v>34</v>
      </c>
      <c r="E685" t="s">
        <v>582</v>
      </c>
      <c r="F685" t="s">
        <v>132</v>
      </c>
      <c r="G685">
        <v>122297000</v>
      </c>
      <c r="H685" s="1">
        <v>44314</v>
      </c>
      <c r="I685">
        <v>2021</v>
      </c>
      <c r="J685" t="s">
        <v>20</v>
      </c>
      <c r="K685">
        <v>4</v>
      </c>
      <c r="L685" t="s">
        <v>65</v>
      </c>
      <c r="M685" t="s">
        <v>66</v>
      </c>
      <c r="N685" t="s">
        <v>31</v>
      </c>
    </row>
    <row r="686" spans="1:14" x14ac:dyDescent="0.3">
      <c r="A686" t="s">
        <v>393</v>
      </c>
      <c r="B686" t="s">
        <v>186</v>
      </c>
      <c r="C686" t="s">
        <v>127</v>
      </c>
      <c r="D686" t="s">
        <v>75</v>
      </c>
      <c r="E686" t="s">
        <v>411</v>
      </c>
      <c r="F686" t="s">
        <v>128</v>
      </c>
      <c r="G686">
        <v>81000</v>
      </c>
      <c r="H686" s="1">
        <v>44146</v>
      </c>
      <c r="I686">
        <v>2020</v>
      </c>
      <c r="J686" t="s">
        <v>72</v>
      </c>
      <c r="K686">
        <v>11</v>
      </c>
      <c r="L686" t="s">
        <v>21</v>
      </c>
      <c r="M686" t="s">
        <v>22</v>
      </c>
      <c r="N686" t="s">
        <v>31</v>
      </c>
    </row>
    <row r="687" spans="1:14" x14ac:dyDescent="0.3">
      <c r="A687" t="s">
        <v>170</v>
      </c>
      <c r="B687" t="s">
        <v>42</v>
      </c>
      <c r="C687" t="s">
        <v>205</v>
      </c>
      <c r="D687" t="s">
        <v>54</v>
      </c>
      <c r="E687" t="s">
        <v>121</v>
      </c>
      <c r="F687" t="s">
        <v>19</v>
      </c>
      <c r="G687">
        <v>390000</v>
      </c>
      <c r="H687" s="1">
        <v>45334</v>
      </c>
      <c r="I687">
        <v>2024</v>
      </c>
      <c r="J687" t="s">
        <v>108</v>
      </c>
      <c r="K687">
        <v>2</v>
      </c>
      <c r="L687" t="s">
        <v>21</v>
      </c>
      <c r="M687" t="s">
        <v>22</v>
      </c>
      <c r="N687" t="s">
        <v>47</v>
      </c>
    </row>
    <row r="688" spans="1:14" x14ac:dyDescent="0.3">
      <c r="A688" t="s">
        <v>118</v>
      </c>
      <c r="B688" t="s">
        <v>59</v>
      </c>
      <c r="C688" t="s">
        <v>123</v>
      </c>
      <c r="D688" t="s">
        <v>27</v>
      </c>
      <c r="E688" t="s">
        <v>583</v>
      </c>
      <c r="F688" t="s">
        <v>19</v>
      </c>
      <c r="G688">
        <v>412000</v>
      </c>
      <c r="H688" s="1">
        <v>44647</v>
      </c>
      <c r="I688">
        <v>2022</v>
      </c>
      <c r="J688" t="s">
        <v>37</v>
      </c>
      <c r="K688">
        <v>3</v>
      </c>
      <c r="L688" t="s">
        <v>21</v>
      </c>
      <c r="M688" t="s">
        <v>22</v>
      </c>
      <c r="N688" t="s">
        <v>31</v>
      </c>
    </row>
    <row r="689" spans="1:14" x14ac:dyDescent="0.3">
      <c r="A689" t="s">
        <v>274</v>
      </c>
      <c r="B689" t="s">
        <v>68</v>
      </c>
      <c r="C689" t="s">
        <v>149</v>
      </c>
      <c r="D689" t="s">
        <v>136</v>
      </c>
      <c r="E689" t="s">
        <v>266</v>
      </c>
      <c r="F689" t="s">
        <v>103</v>
      </c>
      <c r="G689">
        <v>2134000</v>
      </c>
      <c r="H689" s="1">
        <v>44128</v>
      </c>
      <c r="I689">
        <v>2020</v>
      </c>
      <c r="J689" t="s">
        <v>89</v>
      </c>
      <c r="K689">
        <v>10</v>
      </c>
      <c r="L689" t="s">
        <v>38</v>
      </c>
      <c r="M689" t="s">
        <v>30</v>
      </c>
      <c r="N689" t="s">
        <v>31</v>
      </c>
    </row>
    <row r="690" spans="1:14" x14ac:dyDescent="0.3">
      <c r="A690" t="s">
        <v>277</v>
      </c>
      <c r="B690" t="s">
        <v>86</v>
      </c>
      <c r="C690" t="s">
        <v>283</v>
      </c>
      <c r="D690" t="s">
        <v>17</v>
      </c>
      <c r="E690" t="s">
        <v>234</v>
      </c>
      <c r="F690" t="s">
        <v>128</v>
      </c>
      <c r="G690">
        <v>50000</v>
      </c>
      <c r="H690" s="1">
        <v>45136</v>
      </c>
      <c r="I690">
        <v>2023</v>
      </c>
      <c r="J690" t="s">
        <v>57</v>
      </c>
      <c r="K690">
        <v>7</v>
      </c>
      <c r="L690" t="s">
        <v>21</v>
      </c>
      <c r="M690" t="s">
        <v>22</v>
      </c>
      <c r="N690" t="s">
        <v>47</v>
      </c>
    </row>
    <row r="691" spans="1:14" x14ac:dyDescent="0.3">
      <c r="A691" t="s">
        <v>408</v>
      </c>
      <c r="B691" t="s">
        <v>126</v>
      </c>
      <c r="C691" t="s">
        <v>127</v>
      </c>
      <c r="D691" t="s">
        <v>34</v>
      </c>
      <c r="E691" t="s">
        <v>217</v>
      </c>
      <c r="F691" t="s">
        <v>19</v>
      </c>
      <c r="G691">
        <v>100000</v>
      </c>
      <c r="H691" s="1">
        <v>44377</v>
      </c>
      <c r="I691">
        <v>2021</v>
      </c>
      <c r="J691" t="s">
        <v>141</v>
      </c>
      <c r="K691">
        <v>6</v>
      </c>
      <c r="L691" t="s">
        <v>21</v>
      </c>
      <c r="M691" t="s">
        <v>22</v>
      </c>
      <c r="N691" t="s">
        <v>40</v>
      </c>
    </row>
    <row r="692" spans="1:14" x14ac:dyDescent="0.3">
      <c r="A692" t="s">
        <v>351</v>
      </c>
      <c r="B692" t="s">
        <v>49</v>
      </c>
      <c r="C692" t="s">
        <v>50</v>
      </c>
      <c r="D692" t="s">
        <v>44</v>
      </c>
      <c r="E692" t="s">
        <v>91</v>
      </c>
      <c r="F692" t="s">
        <v>36</v>
      </c>
      <c r="G692">
        <v>12266000</v>
      </c>
      <c r="H692" s="1">
        <v>45036</v>
      </c>
      <c r="I692">
        <v>2023</v>
      </c>
      <c r="J692" t="s">
        <v>20</v>
      </c>
      <c r="K692">
        <v>4</v>
      </c>
      <c r="L692" t="s">
        <v>38</v>
      </c>
      <c r="M692" t="s">
        <v>39</v>
      </c>
      <c r="N692" t="s">
        <v>40</v>
      </c>
    </row>
    <row r="693" spans="1:14" x14ac:dyDescent="0.3">
      <c r="A693" t="s">
        <v>287</v>
      </c>
      <c r="B693" t="s">
        <v>81</v>
      </c>
      <c r="C693" t="s">
        <v>250</v>
      </c>
      <c r="D693" t="s">
        <v>17</v>
      </c>
      <c r="E693" t="s">
        <v>279</v>
      </c>
      <c r="F693" t="s">
        <v>117</v>
      </c>
      <c r="G693">
        <v>53000</v>
      </c>
      <c r="H693" s="1">
        <v>44031</v>
      </c>
      <c r="I693">
        <v>2020</v>
      </c>
      <c r="J693" t="s">
        <v>57</v>
      </c>
      <c r="K693">
        <v>7</v>
      </c>
      <c r="L693" t="s">
        <v>21</v>
      </c>
      <c r="M693" t="s">
        <v>22</v>
      </c>
      <c r="N693" t="s">
        <v>84</v>
      </c>
    </row>
    <row r="694" spans="1:14" x14ac:dyDescent="0.3">
      <c r="A694" t="s">
        <v>297</v>
      </c>
      <c r="B694" t="s">
        <v>94</v>
      </c>
      <c r="C694" t="s">
        <v>95</v>
      </c>
      <c r="D694" t="s">
        <v>27</v>
      </c>
      <c r="E694" t="s">
        <v>234</v>
      </c>
      <c r="F694" t="s">
        <v>117</v>
      </c>
      <c r="G694">
        <v>64000</v>
      </c>
      <c r="H694" s="1">
        <v>44019</v>
      </c>
      <c r="I694">
        <v>2020</v>
      </c>
      <c r="J694" t="s">
        <v>57</v>
      </c>
      <c r="K694">
        <v>7</v>
      </c>
      <c r="L694" t="s">
        <v>21</v>
      </c>
      <c r="M694" t="s">
        <v>22</v>
      </c>
      <c r="N694" t="s">
        <v>40</v>
      </c>
    </row>
    <row r="695" spans="1:14" x14ac:dyDescent="0.3">
      <c r="A695" t="s">
        <v>281</v>
      </c>
      <c r="B695" t="s">
        <v>49</v>
      </c>
      <c r="C695" t="s">
        <v>135</v>
      </c>
      <c r="D695" t="s">
        <v>17</v>
      </c>
      <c r="E695" t="s">
        <v>97</v>
      </c>
      <c r="F695" t="s">
        <v>19</v>
      </c>
      <c r="G695">
        <v>122000</v>
      </c>
      <c r="H695" s="1">
        <v>45069</v>
      </c>
      <c r="I695">
        <v>2023</v>
      </c>
      <c r="J695" t="s">
        <v>77</v>
      </c>
      <c r="K695">
        <v>5</v>
      </c>
      <c r="L695" t="s">
        <v>21</v>
      </c>
      <c r="M695" t="s">
        <v>22</v>
      </c>
      <c r="N695" t="s">
        <v>40</v>
      </c>
    </row>
    <row r="696" spans="1:14" x14ac:dyDescent="0.3">
      <c r="A696" t="s">
        <v>400</v>
      </c>
      <c r="B696" t="s">
        <v>25</v>
      </c>
      <c r="C696" t="s">
        <v>171</v>
      </c>
      <c r="D696" t="s">
        <v>34</v>
      </c>
      <c r="E696" t="s">
        <v>116</v>
      </c>
      <c r="F696" t="s">
        <v>19</v>
      </c>
      <c r="G696">
        <v>76000</v>
      </c>
      <c r="H696" s="1">
        <v>45183</v>
      </c>
      <c r="I696">
        <v>2023</v>
      </c>
      <c r="J696" t="s">
        <v>46</v>
      </c>
      <c r="K696">
        <v>9</v>
      </c>
      <c r="L696" t="s">
        <v>21</v>
      </c>
      <c r="M696" t="s">
        <v>22</v>
      </c>
      <c r="N696" t="s">
        <v>31</v>
      </c>
    </row>
    <row r="697" spans="1:14" x14ac:dyDescent="0.3">
      <c r="A697" t="s">
        <v>201</v>
      </c>
      <c r="B697" t="s">
        <v>25</v>
      </c>
      <c r="C697" t="s">
        <v>26</v>
      </c>
      <c r="D697" t="s">
        <v>96</v>
      </c>
      <c r="E697" t="s">
        <v>200</v>
      </c>
      <c r="F697" t="s">
        <v>19</v>
      </c>
      <c r="G697">
        <v>476000</v>
      </c>
      <c r="H697" s="1">
        <v>45429</v>
      </c>
      <c r="I697">
        <v>2024</v>
      </c>
      <c r="J697" t="s">
        <v>77</v>
      </c>
      <c r="K697">
        <v>5</v>
      </c>
      <c r="L697" t="s">
        <v>21</v>
      </c>
      <c r="M697" t="s">
        <v>22</v>
      </c>
      <c r="N697" t="s">
        <v>31</v>
      </c>
    </row>
    <row r="698" spans="1:14" x14ac:dyDescent="0.3">
      <c r="A698" t="s">
        <v>368</v>
      </c>
      <c r="B698" t="s">
        <v>86</v>
      </c>
      <c r="C698" t="s">
        <v>283</v>
      </c>
      <c r="D698" t="s">
        <v>34</v>
      </c>
      <c r="E698" t="s">
        <v>183</v>
      </c>
      <c r="F698" t="s">
        <v>188</v>
      </c>
      <c r="G698">
        <v>145000</v>
      </c>
      <c r="H698" s="1">
        <v>44373</v>
      </c>
      <c r="I698">
        <v>2021</v>
      </c>
      <c r="J698" t="s">
        <v>141</v>
      </c>
      <c r="K698">
        <v>6</v>
      </c>
      <c r="L698" t="s">
        <v>38</v>
      </c>
      <c r="M698" t="s">
        <v>22</v>
      </c>
      <c r="N698" t="s">
        <v>47</v>
      </c>
    </row>
    <row r="699" spans="1:14" x14ac:dyDescent="0.3">
      <c r="A699" t="s">
        <v>272</v>
      </c>
      <c r="B699" t="s">
        <v>15</v>
      </c>
      <c r="C699" t="s">
        <v>53</v>
      </c>
      <c r="D699" t="s">
        <v>54</v>
      </c>
      <c r="E699" t="s">
        <v>192</v>
      </c>
      <c r="F699" t="s">
        <v>36</v>
      </c>
      <c r="G699">
        <v>25052000</v>
      </c>
      <c r="H699" s="1">
        <v>44053</v>
      </c>
      <c r="I699">
        <v>2020</v>
      </c>
      <c r="J699" t="s">
        <v>153</v>
      </c>
      <c r="K699">
        <v>8</v>
      </c>
      <c r="L699" t="s">
        <v>38</v>
      </c>
      <c r="M699" t="s">
        <v>39</v>
      </c>
      <c r="N699" t="s">
        <v>23</v>
      </c>
    </row>
    <row r="700" spans="1:14" x14ac:dyDescent="0.3">
      <c r="A700" t="s">
        <v>408</v>
      </c>
      <c r="B700" t="s">
        <v>15</v>
      </c>
      <c r="C700" t="s">
        <v>74</v>
      </c>
      <c r="D700" t="s">
        <v>70</v>
      </c>
      <c r="E700" t="s">
        <v>121</v>
      </c>
      <c r="F700" t="s">
        <v>36</v>
      </c>
      <c r="G700">
        <v>7671000</v>
      </c>
      <c r="H700" s="1">
        <v>44042</v>
      </c>
      <c r="I700">
        <v>2020</v>
      </c>
      <c r="J700" t="s">
        <v>57</v>
      </c>
      <c r="K700">
        <v>7</v>
      </c>
      <c r="L700" t="s">
        <v>38</v>
      </c>
      <c r="M700" t="s">
        <v>30</v>
      </c>
      <c r="N700" t="s">
        <v>23</v>
      </c>
    </row>
    <row r="701" spans="1:14" x14ac:dyDescent="0.3">
      <c r="A701" t="s">
        <v>275</v>
      </c>
      <c r="B701" t="s">
        <v>81</v>
      </c>
      <c r="C701" t="s">
        <v>90</v>
      </c>
      <c r="D701" t="s">
        <v>54</v>
      </c>
      <c r="E701" t="s">
        <v>315</v>
      </c>
      <c r="F701" t="s">
        <v>36</v>
      </c>
      <c r="G701">
        <v>18981000</v>
      </c>
      <c r="H701" s="1">
        <v>43832</v>
      </c>
      <c r="I701">
        <v>2020</v>
      </c>
      <c r="J701" t="s">
        <v>29</v>
      </c>
      <c r="K701">
        <v>1</v>
      </c>
      <c r="L701" t="s">
        <v>38</v>
      </c>
      <c r="M701" t="s">
        <v>39</v>
      </c>
      <c r="N701" t="s">
        <v>84</v>
      </c>
    </row>
    <row r="702" spans="1:14" x14ac:dyDescent="0.3">
      <c r="A702" t="s">
        <v>331</v>
      </c>
      <c r="B702" t="s">
        <v>86</v>
      </c>
      <c r="C702" t="s">
        <v>339</v>
      </c>
      <c r="D702" t="s">
        <v>75</v>
      </c>
      <c r="E702" t="s">
        <v>343</v>
      </c>
      <c r="F702" t="s">
        <v>117</v>
      </c>
      <c r="G702">
        <v>68000</v>
      </c>
      <c r="H702" s="1">
        <v>45280</v>
      </c>
      <c r="I702">
        <v>2023</v>
      </c>
      <c r="J702" t="s">
        <v>99</v>
      </c>
      <c r="K702">
        <v>12</v>
      </c>
      <c r="L702" t="s">
        <v>21</v>
      </c>
      <c r="M702" t="s">
        <v>22</v>
      </c>
      <c r="N702" t="s">
        <v>47</v>
      </c>
    </row>
    <row r="703" spans="1:14" x14ac:dyDescent="0.3">
      <c r="A703" t="s">
        <v>241</v>
      </c>
      <c r="B703" t="s">
        <v>32</v>
      </c>
      <c r="C703" t="s">
        <v>33</v>
      </c>
      <c r="D703" t="s">
        <v>27</v>
      </c>
      <c r="E703" t="s">
        <v>584</v>
      </c>
      <c r="F703" t="s">
        <v>56</v>
      </c>
      <c r="G703">
        <v>113000</v>
      </c>
      <c r="H703" s="1">
        <v>45242</v>
      </c>
      <c r="I703">
        <v>2023</v>
      </c>
      <c r="J703" t="s">
        <v>72</v>
      </c>
      <c r="K703">
        <v>11</v>
      </c>
      <c r="L703" t="s">
        <v>38</v>
      </c>
      <c r="M703" t="s">
        <v>22</v>
      </c>
      <c r="N703" t="s">
        <v>40</v>
      </c>
    </row>
    <row r="704" spans="1:14" x14ac:dyDescent="0.3">
      <c r="A704" t="s">
        <v>446</v>
      </c>
      <c r="B704" t="s">
        <v>86</v>
      </c>
      <c r="C704" t="s">
        <v>228</v>
      </c>
      <c r="D704" t="s">
        <v>136</v>
      </c>
      <c r="E704" t="s">
        <v>585</v>
      </c>
      <c r="F704" t="s">
        <v>19</v>
      </c>
      <c r="G704">
        <v>173000</v>
      </c>
      <c r="H704" s="1">
        <v>45794</v>
      </c>
      <c r="I704">
        <v>2025</v>
      </c>
      <c r="J704" t="s">
        <v>77</v>
      </c>
      <c r="K704">
        <v>5</v>
      </c>
      <c r="L704" t="s">
        <v>21</v>
      </c>
      <c r="M704" t="s">
        <v>22</v>
      </c>
      <c r="N704" t="s">
        <v>47</v>
      </c>
    </row>
    <row r="705" spans="1:14" x14ac:dyDescent="0.3">
      <c r="A705" t="s">
        <v>309</v>
      </c>
      <c r="B705" t="s">
        <v>59</v>
      </c>
      <c r="C705" t="s">
        <v>149</v>
      </c>
      <c r="D705" t="s">
        <v>44</v>
      </c>
      <c r="E705" t="s">
        <v>203</v>
      </c>
      <c r="F705" t="s">
        <v>19</v>
      </c>
      <c r="G705">
        <v>82000</v>
      </c>
      <c r="H705" s="1">
        <v>43911</v>
      </c>
      <c r="I705">
        <v>2020</v>
      </c>
      <c r="J705" t="s">
        <v>37</v>
      </c>
      <c r="K705">
        <v>3</v>
      </c>
      <c r="L705" t="s">
        <v>21</v>
      </c>
      <c r="M705" t="s">
        <v>22</v>
      </c>
      <c r="N705" t="s">
        <v>31</v>
      </c>
    </row>
    <row r="706" spans="1:14" x14ac:dyDescent="0.3">
      <c r="A706" t="s">
        <v>395</v>
      </c>
      <c r="B706" t="s">
        <v>49</v>
      </c>
      <c r="C706" t="s">
        <v>50</v>
      </c>
      <c r="D706" t="s">
        <v>96</v>
      </c>
      <c r="E706" t="s">
        <v>586</v>
      </c>
      <c r="F706" t="s">
        <v>103</v>
      </c>
      <c r="G706">
        <v>1187000</v>
      </c>
      <c r="H706" s="1">
        <v>45643</v>
      </c>
      <c r="I706">
        <v>2024</v>
      </c>
      <c r="J706" t="s">
        <v>99</v>
      </c>
      <c r="K706">
        <v>12</v>
      </c>
      <c r="L706" t="s">
        <v>38</v>
      </c>
      <c r="M706" t="s">
        <v>30</v>
      </c>
      <c r="N706" t="s">
        <v>40</v>
      </c>
    </row>
    <row r="707" spans="1:14" x14ac:dyDescent="0.3">
      <c r="A707" t="s">
        <v>285</v>
      </c>
      <c r="B707" t="s">
        <v>126</v>
      </c>
      <c r="C707" t="s">
        <v>159</v>
      </c>
      <c r="D707" t="s">
        <v>70</v>
      </c>
      <c r="E707" t="s">
        <v>587</v>
      </c>
      <c r="F707" t="s">
        <v>56</v>
      </c>
      <c r="G707">
        <v>977000</v>
      </c>
      <c r="H707" s="1">
        <v>45454</v>
      </c>
      <c r="I707">
        <v>2024</v>
      </c>
      <c r="J707" t="s">
        <v>141</v>
      </c>
      <c r="K707">
        <v>6</v>
      </c>
      <c r="L707" t="s">
        <v>38</v>
      </c>
      <c r="M707" t="s">
        <v>22</v>
      </c>
      <c r="N707" t="s">
        <v>40</v>
      </c>
    </row>
    <row r="708" spans="1:14" x14ac:dyDescent="0.3">
      <c r="A708" t="s">
        <v>338</v>
      </c>
      <c r="B708" t="s">
        <v>81</v>
      </c>
      <c r="C708" t="s">
        <v>250</v>
      </c>
      <c r="D708" t="s">
        <v>96</v>
      </c>
      <c r="E708" t="s">
        <v>588</v>
      </c>
      <c r="F708" t="s">
        <v>19</v>
      </c>
      <c r="G708">
        <v>164000</v>
      </c>
      <c r="H708" s="1">
        <v>45444</v>
      </c>
      <c r="I708">
        <v>2024</v>
      </c>
      <c r="J708" t="s">
        <v>141</v>
      </c>
      <c r="K708">
        <v>6</v>
      </c>
      <c r="L708" t="s">
        <v>21</v>
      </c>
      <c r="M708" t="s">
        <v>22</v>
      </c>
      <c r="N708" t="s">
        <v>84</v>
      </c>
    </row>
    <row r="709" spans="1:14" x14ac:dyDescent="0.3">
      <c r="A709" t="s">
        <v>372</v>
      </c>
      <c r="B709" t="s">
        <v>114</v>
      </c>
      <c r="C709" t="s">
        <v>243</v>
      </c>
      <c r="D709" t="s">
        <v>54</v>
      </c>
      <c r="E709" t="s">
        <v>157</v>
      </c>
      <c r="F709" t="s">
        <v>36</v>
      </c>
      <c r="G709">
        <v>47223000</v>
      </c>
      <c r="H709" s="1">
        <v>44308</v>
      </c>
      <c r="I709">
        <v>2021</v>
      </c>
      <c r="J709" t="s">
        <v>20</v>
      </c>
      <c r="K709">
        <v>4</v>
      </c>
      <c r="L709" t="s">
        <v>38</v>
      </c>
      <c r="M709" t="s">
        <v>39</v>
      </c>
      <c r="N709" t="s">
        <v>47</v>
      </c>
    </row>
    <row r="710" spans="1:14" x14ac:dyDescent="0.3">
      <c r="A710" t="s">
        <v>442</v>
      </c>
      <c r="B710" t="s">
        <v>81</v>
      </c>
      <c r="C710" t="s">
        <v>90</v>
      </c>
      <c r="D710" t="s">
        <v>75</v>
      </c>
      <c r="E710" t="s">
        <v>589</v>
      </c>
      <c r="F710" t="s">
        <v>117</v>
      </c>
      <c r="G710">
        <v>36000</v>
      </c>
      <c r="H710" s="1">
        <v>45267</v>
      </c>
      <c r="I710">
        <v>2023</v>
      </c>
      <c r="J710" t="s">
        <v>99</v>
      </c>
      <c r="K710">
        <v>12</v>
      </c>
      <c r="L710" t="s">
        <v>21</v>
      </c>
      <c r="M710" t="s">
        <v>22</v>
      </c>
      <c r="N710" t="s">
        <v>84</v>
      </c>
    </row>
    <row r="711" spans="1:14" x14ac:dyDescent="0.3">
      <c r="A711" t="s">
        <v>467</v>
      </c>
      <c r="B711" t="s">
        <v>114</v>
      </c>
      <c r="C711" t="s">
        <v>156</v>
      </c>
      <c r="D711" t="s">
        <v>70</v>
      </c>
      <c r="E711" t="s">
        <v>590</v>
      </c>
      <c r="F711" t="s">
        <v>103</v>
      </c>
      <c r="G711">
        <v>6332000</v>
      </c>
      <c r="H711" s="1">
        <v>45541</v>
      </c>
      <c r="I711">
        <v>2024</v>
      </c>
      <c r="J711" t="s">
        <v>46</v>
      </c>
      <c r="K711">
        <v>9</v>
      </c>
      <c r="L711" t="s">
        <v>38</v>
      </c>
      <c r="M711" t="s">
        <v>30</v>
      </c>
      <c r="N711" t="s">
        <v>47</v>
      </c>
    </row>
    <row r="712" spans="1:14" x14ac:dyDescent="0.3">
      <c r="A712" t="s">
        <v>191</v>
      </c>
      <c r="B712" t="s">
        <v>42</v>
      </c>
      <c r="C712" t="s">
        <v>205</v>
      </c>
      <c r="D712" t="s">
        <v>75</v>
      </c>
      <c r="E712" t="s">
        <v>183</v>
      </c>
      <c r="F712" t="s">
        <v>19</v>
      </c>
      <c r="G712">
        <v>826000</v>
      </c>
      <c r="H712" s="1">
        <v>45478</v>
      </c>
      <c r="I712">
        <v>2024</v>
      </c>
      <c r="J712" t="s">
        <v>57</v>
      </c>
      <c r="K712">
        <v>7</v>
      </c>
      <c r="L712" t="s">
        <v>21</v>
      </c>
      <c r="M712" t="s">
        <v>22</v>
      </c>
      <c r="N712" t="s">
        <v>47</v>
      </c>
    </row>
    <row r="713" spans="1:14" x14ac:dyDescent="0.3">
      <c r="A713" t="s">
        <v>230</v>
      </c>
      <c r="B713" t="s">
        <v>49</v>
      </c>
      <c r="C713" t="s">
        <v>50</v>
      </c>
      <c r="D713" t="s">
        <v>111</v>
      </c>
      <c r="E713" t="s">
        <v>293</v>
      </c>
      <c r="F713" t="s">
        <v>19</v>
      </c>
      <c r="G713">
        <v>450000</v>
      </c>
      <c r="H713" s="1">
        <v>45544</v>
      </c>
      <c r="I713">
        <v>2024</v>
      </c>
      <c r="J713" t="s">
        <v>46</v>
      </c>
      <c r="K713">
        <v>9</v>
      </c>
      <c r="L713" t="s">
        <v>21</v>
      </c>
      <c r="M713" t="s">
        <v>22</v>
      </c>
      <c r="N713" t="s">
        <v>40</v>
      </c>
    </row>
    <row r="714" spans="1:14" x14ac:dyDescent="0.3">
      <c r="A714" t="s">
        <v>370</v>
      </c>
      <c r="B714" t="s">
        <v>86</v>
      </c>
      <c r="C714" t="s">
        <v>283</v>
      </c>
      <c r="D714" t="s">
        <v>17</v>
      </c>
      <c r="E714" t="s">
        <v>540</v>
      </c>
      <c r="F714" t="s">
        <v>19</v>
      </c>
      <c r="G714">
        <v>285000</v>
      </c>
      <c r="H714" s="1">
        <v>45382</v>
      </c>
      <c r="I714">
        <v>2024</v>
      </c>
      <c r="J714" t="s">
        <v>37</v>
      </c>
      <c r="K714">
        <v>3</v>
      </c>
      <c r="L714" t="s">
        <v>21</v>
      </c>
      <c r="M714" t="s">
        <v>22</v>
      </c>
      <c r="N714" t="s">
        <v>47</v>
      </c>
    </row>
    <row r="715" spans="1:14" x14ac:dyDescent="0.3">
      <c r="A715" t="s">
        <v>220</v>
      </c>
      <c r="B715" t="s">
        <v>42</v>
      </c>
      <c r="C715" t="s">
        <v>182</v>
      </c>
      <c r="D715" t="s">
        <v>75</v>
      </c>
      <c r="E715" t="s">
        <v>273</v>
      </c>
      <c r="F715" t="s">
        <v>117</v>
      </c>
      <c r="G715">
        <v>52000</v>
      </c>
      <c r="H715" s="1">
        <v>44035</v>
      </c>
      <c r="I715">
        <v>2020</v>
      </c>
      <c r="J715" t="s">
        <v>57</v>
      </c>
      <c r="K715">
        <v>7</v>
      </c>
      <c r="L715" t="s">
        <v>21</v>
      </c>
      <c r="M715" t="s">
        <v>22</v>
      </c>
      <c r="N715" t="s">
        <v>47</v>
      </c>
    </row>
    <row r="716" spans="1:14" x14ac:dyDescent="0.3">
      <c r="A716" t="s">
        <v>312</v>
      </c>
      <c r="B716" t="s">
        <v>186</v>
      </c>
      <c r="C716" t="s">
        <v>187</v>
      </c>
      <c r="D716" t="s">
        <v>27</v>
      </c>
      <c r="E716" t="s">
        <v>591</v>
      </c>
      <c r="F716" t="s">
        <v>19</v>
      </c>
      <c r="G716">
        <v>181000</v>
      </c>
      <c r="H716" s="1">
        <v>44013</v>
      </c>
      <c r="I716">
        <v>2020</v>
      </c>
      <c r="J716" t="s">
        <v>57</v>
      </c>
      <c r="K716">
        <v>7</v>
      </c>
      <c r="L716" t="s">
        <v>21</v>
      </c>
      <c r="M716" t="s">
        <v>22</v>
      </c>
      <c r="N716" t="s">
        <v>31</v>
      </c>
    </row>
    <row r="717" spans="1:14" x14ac:dyDescent="0.3">
      <c r="A717" t="s">
        <v>41</v>
      </c>
      <c r="B717" t="s">
        <v>15</v>
      </c>
      <c r="C717" t="s">
        <v>16</v>
      </c>
      <c r="D717" t="s">
        <v>34</v>
      </c>
      <c r="E717" t="s">
        <v>234</v>
      </c>
      <c r="F717" t="s">
        <v>103</v>
      </c>
      <c r="G717">
        <v>12394000</v>
      </c>
      <c r="H717" s="1">
        <v>44674</v>
      </c>
      <c r="I717">
        <v>2022</v>
      </c>
      <c r="J717" t="s">
        <v>20</v>
      </c>
      <c r="K717">
        <v>4</v>
      </c>
      <c r="L717" t="s">
        <v>38</v>
      </c>
      <c r="M717" t="s">
        <v>39</v>
      </c>
      <c r="N717" t="s">
        <v>23</v>
      </c>
    </row>
    <row r="718" spans="1:14" x14ac:dyDescent="0.3">
      <c r="A718" t="s">
        <v>313</v>
      </c>
      <c r="B718" t="s">
        <v>25</v>
      </c>
      <c r="C718" t="s">
        <v>168</v>
      </c>
      <c r="D718" t="s">
        <v>75</v>
      </c>
      <c r="E718" t="s">
        <v>97</v>
      </c>
      <c r="F718" t="s">
        <v>188</v>
      </c>
      <c r="G718">
        <v>1071000</v>
      </c>
      <c r="H718" s="1">
        <v>45115</v>
      </c>
      <c r="I718">
        <v>2023</v>
      </c>
      <c r="J718" t="s">
        <v>57</v>
      </c>
      <c r="K718">
        <v>7</v>
      </c>
      <c r="L718" t="s">
        <v>38</v>
      </c>
      <c r="M718" t="s">
        <v>30</v>
      </c>
      <c r="N718" t="s">
        <v>31</v>
      </c>
    </row>
    <row r="719" spans="1:14" x14ac:dyDescent="0.3">
      <c r="A719" t="s">
        <v>507</v>
      </c>
      <c r="B719" t="s">
        <v>15</v>
      </c>
      <c r="C719" t="s">
        <v>74</v>
      </c>
      <c r="D719" t="s">
        <v>111</v>
      </c>
      <c r="E719" t="s">
        <v>28</v>
      </c>
      <c r="F719" t="s">
        <v>188</v>
      </c>
      <c r="G719">
        <v>1758000</v>
      </c>
      <c r="H719" s="1">
        <v>45098</v>
      </c>
      <c r="I719">
        <v>2023</v>
      </c>
      <c r="J719" t="s">
        <v>141</v>
      </c>
      <c r="K719">
        <v>6</v>
      </c>
      <c r="L719" t="s">
        <v>38</v>
      </c>
      <c r="M719" t="s">
        <v>30</v>
      </c>
      <c r="N719" t="s">
        <v>23</v>
      </c>
    </row>
    <row r="720" spans="1:14" x14ac:dyDescent="0.3">
      <c r="A720" t="s">
        <v>93</v>
      </c>
      <c r="B720" t="s">
        <v>15</v>
      </c>
      <c r="C720" t="s">
        <v>53</v>
      </c>
      <c r="D720" t="s">
        <v>44</v>
      </c>
      <c r="E720" t="s">
        <v>51</v>
      </c>
      <c r="F720" t="s">
        <v>19</v>
      </c>
      <c r="G720">
        <v>79000</v>
      </c>
      <c r="H720" s="1">
        <v>44227</v>
      </c>
      <c r="I720">
        <v>2021</v>
      </c>
      <c r="J720" t="s">
        <v>29</v>
      </c>
      <c r="K720">
        <v>1</v>
      </c>
      <c r="L720" t="s">
        <v>21</v>
      </c>
      <c r="M720" t="s">
        <v>22</v>
      </c>
      <c r="N720" t="s">
        <v>23</v>
      </c>
    </row>
    <row r="721" spans="1:14" x14ac:dyDescent="0.3">
      <c r="A721" t="s">
        <v>41</v>
      </c>
      <c r="B721" t="s">
        <v>105</v>
      </c>
      <c r="C721" t="s">
        <v>162</v>
      </c>
      <c r="D721" t="s">
        <v>27</v>
      </c>
      <c r="E721" t="s">
        <v>183</v>
      </c>
      <c r="F721" t="s">
        <v>36</v>
      </c>
      <c r="G721">
        <v>37933000</v>
      </c>
      <c r="H721" s="1">
        <v>44414</v>
      </c>
      <c r="I721">
        <v>2021</v>
      </c>
      <c r="J721" t="s">
        <v>153</v>
      </c>
      <c r="K721">
        <v>8</v>
      </c>
      <c r="L721" t="s">
        <v>38</v>
      </c>
      <c r="M721" t="s">
        <v>39</v>
      </c>
      <c r="N721" t="s">
        <v>23</v>
      </c>
    </row>
    <row r="722" spans="1:14" x14ac:dyDescent="0.3">
      <c r="A722" t="s">
        <v>354</v>
      </c>
      <c r="B722" t="s">
        <v>59</v>
      </c>
      <c r="C722" t="s">
        <v>149</v>
      </c>
      <c r="D722" t="s">
        <v>27</v>
      </c>
      <c r="E722" t="s">
        <v>592</v>
      </c>
      <c r="F722" t="s">
        <v>19</v>
      </c>
      <c r="G722">
        <v>1593000</v>
      </c>
      <c r="H722" s="1">
        <v>43938</v>
      </c>
      <c r="I722">
        <v>2020</v>
      </c>
      <c r="J722" t="s">
        <v>20</v>
      </c>
      <c r="K722">
        <v>4</v>
      </c>
      <c r="L722" t="s">
        <v>21</v>
      </c>
      <c r="M722" t="s">
        <v>30</v>
      </c>
      <c r="N722" t="s">
        <v>31</v>
      </c>
    </row>
    <row r="723" spans="1:14" x14ac:dyDescent="0.3">
      <c r="A723" t="s">
        <v>312</v>
      </c>
      <c r="B723" t="s">
        <v>32</v>
      </c>
      <c r="C723" t="s">
        <v>33</v>
      </c>
      <c r="D723" t="s">
        <v>17</v>
      </c>
      <c r="E723" t="s">
        <v>593</v>
      </c>
      <c r="F723" t="s">
        <v>128</v>
      </c>
      <c r="G723">
        <v>9000</v>
      </c>
      <c r="H723" s="1">
        <v>45308</v>
      </c>
      <c r="I723">
        <v>2024</v>
      </c>
      <c r="J723" t="s">
        <v>29</v>
      </c>
      <c r="K723">
        <v>1</v>
      </c>
      <c r="L723" t="s">
        <v>21</v>
      </c>
      <c r="M723" t="s">
        <v>22</v>
      </c>
      <c r="N723" t="s">
        <v>40</v>
      </c>
    </row>
    <row r="724" spans="1:14" x14ac:dyDescent="0.3">
      <c r="A724" t="s">
        <v>412</v>
      </c>
      <c r="B724" t="s">
        <v>86</v>
      </c>
      <c r="C724" t="s">
        <v>87</v>
      </c>
      <c r="D724" t="s">
        <v>17</v>
      </c>
      <c r="E724" t="s">
        <v>293</v>
      </c>
      <c r="F724" t="s">
        <v>19</v>
      </c>
      <c r="G724">
        <v>64000</v>
      </c>
      <c r="H724" s="1">
        <v>44031</v>
      </c>
      <c r="I724">
        <v>2020</v>
      </c>
      <c r="J724" t="s">
        <v>57</v>
      </c>
      <c r="K724">
        <v>7</v>
      </c>
      <c r="L724" t="s">
        <v>21</v>
      </c>
      <c r="M724" t="s">
        <v>22</v>
      </c>
      <c r="N724" t="s">
        <v>47</v>
      </c>
    </row>
    <row r="725" spans="1:14" x14ac:dyDescent="0.3">
      <c r="A725" t="s">
        <v>342</v>
      </c>
      <c r="B725" t="s">
        <v>15</v>
      </c>
      <c r="C725" t="s">
        <v>74</v>
      </c>
      <c r="D725" t="s">
        <v>70</v>
      </c>
      <c r="E725" t="s">
        <v>35</v>
      </c>
      <c r="F725" t="s">
        <v>103</v>
      </c>
      <c r="G725">
        <v>7441000</v>
      </c>
      <c r="H725" s="1">
        <v>43942</v>
      </c>
      <c r="I725">
        <v>2020</v>
      </c>
      <c r="J725" t="s">
        <v>20</v>
      </c>
      <c r="K725">
        <v>4</v>
      </c>
      <c r="L725" t="s">
        <v>38</v>
      </c>
      <c r="M725" t="s">
        <v>30</v>
      </c>
      <c r="N725" t="s">
        <v>23</v>
      </c>
    </row>
    <row r="726" spans="1:14" x14ac:dyDescent="0.3">
      <c r="A726" t="s">
        <v>478</v>
      </c>
      <c r="B726" t="s">
        <v>86</v>
      </c>
      <c r="C726" t="s">
        <v>87</v>
      </c>
      <c r="D726" t="s">
        <v>70</v>
      </c>
      <c r="E726" t="s">
        <v>61</v>
      </c>
      <c r="F726" t="s">
        <v>36</v>
      </c>
      <c r="G726">
        <v>24587000</v>
      </c>
      <c r="H726" s="1">
        <v>45125</v>
      </c>
      <c r="I726">
        <v>2023</v>
      </c>
      <c r="J726" t="s">
        <v>57</v>
      </c>
      <c r="K726">
        <v>7</v>
      </c>
      <c r="L726" t="s">
        <v>38</v>
      </c>
      <c r="M726" t="s">
        <v>39</v>
      </c>
      <c r="N726" t="s">
        <v>47</v>
      </c>
    </row>
    <row r="727" spans="1:14" x14ac:dyDescent="0.3">
      <c r="A727" t="s">
        <v>342</v>
      </c>
      <c r="B727" t="s">
        <v>81</v>
      </c>
      <c r="C727" t="s">
        <v>82</v>
      </c>
      <c r="D727" t="s">
        <v>27</v>
      </c>
      <c r="E727" t="s">
        <v>165</v>
      </c>
      <c r="F727" t="s">
        <v>19</v>
      </c>
      <c r="G727">
        <v>1116000</v>
      </c>
      <c r="H727" s="1">
        <v>44058</v>
      </c>
      <c r="I727">
        <v>2020</v>
      </c>
      <c r="J727" t="s">
        <v>153</v>
      </c>
      <c r="K727">
        <v>8</v>
      </c>
      <c r="L727" t="s">
        <v>21</v>
      </c>
      <c r="M727" t="s">
        <v>30</v>
      </c>
      <c r="N727" t="s">
        <v>84</v>
      </c>
    </row>
    <row r="728" spans="1:14" x14ac:dyDescent="0.3">
      <c r="A728" t="s">
        <v>305</v>
      </c>
      <c r="B728" t="s">
        <v>94</v>
      </c>
      <c r="C728" t="s">
        <v>146</v>
      </c>
      <c r="D728" t="s">
        <v>54</v>
      </c>
      <c r="E728" t="s">
        <v>321</v>
      </c>
      <c r="F728" t="s">
        <v>132</v>
      </c>
      <c r="G728">
        <v>29202000</v>
      </c>
      <c r="H728" s="1">
        <v>45137</v>
      </c>
      <c r="I728">
        <v>2023</v>
      </c>
      <c r="J728" t="s">
        <v>57</v>
      </c>
      <c r="K728">
        <v>7</v>
      </c>
      <c r="L728" t="s">
        <v>65</v>
      </c>
      <c r="M728" t="s">
        <v>39</v>
      </c>
      <c r="N728" t="s">
        <v>40</v>
      </c>
    </row>
    <row r="729" spans="1:14" x14ac:dyDescent="0.3">
      <c r="A729" t="s">
        <v>134</v>
      </c>
      <c r="B729" t="s">
        <v>114</v>
      </c>
      <c r="C729" t="s">
        <v>243</v>
      </c>
      <c r="D729" t="s">
        <v>70</v>
      </c>
      <c r="E729" t="s">
        <v>226</v>
      </c>
      <c r="F729" t="s">
        <v>64</v>
      </c>
      <c r="G729">
        <v>407801000</v>
      </c>
      <c r="H729" s="1">
        <v>44274</v>
      </c>
      <c r="I729">
        <v>2021</v>
      </c>
      <c r="J729" t="s">
        <v>37</v>
      </c>
      <c r="K729">
        <v>3</v>
      </c>
      <c r="L729" t="s">
        <v>65</v>
      </c>
      <c r="M729" t="s">
        <v>66</v>
      </c>
      <c r="N729" t="s">
        <v>47</v>
      </c>
    </row>
    <row r="730" spans="1:14" x14ac:dyDescent="0.3">
      <c r="A730" t="s">
        <v>438</v>
      </c>
      <c r="B730" t="s">
        <v>25</v>
      </c>
      <c r="C730" t="s">
        <v>171</v>
      </c>
      <c r="D730" t="s">
        <v>44</v>
      </c>
      <c r="E730" t="s">
        <v>369</v>
      </c>
      <c r="F730" t="s">
        <v>19</v>
      </c>
      <c r="G730">
        <v>105000</v>
      </c>
      <c r="H730" s="1">
        <v>45017</v>
      </c>
      <c r="I730">
        <v>2023</v>
      </c>
      <c r="J730" t="s">
        <v>20</v>
      </c>
      <c r="K730">
        <v>4</v>
      </c>
      <c r="L730" t="s">
        <v>21</v>
      </c>
      <c r="M730" t="s">
        <v>22</v>
      </c>
      <c r="N730" t="s">
        <v>31</v>
      </c>
    </row>
    <row r="731" spans="1:14" x14ac:dyDescent="0.3">
      <c r="A731" t="s">
        <v>120</v>
      </c>
      <c r="B731" t="s">
        <v>81</v>
      </c>
      <c r="C731" t="s">
        <v>90</v>
      </c>
      <c r="D731" t="s">
        <v>27</v>
      </c>
      <c r="E731" t="s">
        <v>594</v>
      </c>
      <c r="F731" t="s">
        <v>117</v>
      </c>
      <c r="G731">
        <v>29000</v>
      </c>
      <c r="H731" s="1">
        <v>44794</v>
      </c>
      <c r="I731">
        <v>2022</v>
      </c>
      <c r="J731" t="s">
        <v>153</v>
      </c>
      <c r="K731">
        <v>8</v>
      </c>
      <c r="L731" t="s">
        <v>21</v>
      </c>
      <c r="M731" t="s">
        <v>22</v>
      </c>
      <c r="N731" t="s">
        <v>84</v>
      </c>
    </row>
    <row r="732" spans="1:14" x14ac:dyDescent="0.3">
      <c r="A732" t="s">
        <v>480</v>
      </c>
      <c r="B732" t="s">
        <v>25</v>
      </c>
      <c r="C732" t="s">
        <v>171</v>
      </c>
      <c r="D732" t="s">
        <v>70</v>
      </c>
      <c r="E732" t="s">
        <v>579</v>
      </c>
      <c r="F732" t="s">
        <v>103</v>
      </c>
      <c r="G732">
        <v>1560000</v>
      </c>
      <c r="H732" s="1">
        <v>44001</v>
      </c>
      <c r="I732">
        <v>2020</v>
      </c>
      <c r="J732" t="s">
        <v>141</v>
      </c>
      <c r="K732">
        <v>6</v>
      </c>
      <c r="L732" t="s">
        <v>38</v>
      </c>
      <c r="M732" t="s">
        <v>30</v>
      </c>
      <c r="N732" t="s">
        <v>31</v>
      </c>
    </row>
    <row r="733" spans="1:14" x14ac:dyDescent="0.3">
      <c r="A733" t="s">
        <v>125</v>
      </c>
      <c r="B733" t="s">
        <v>15</v>
      </c>
      <c r="C733" t="s">
        <v>16</v>
      </c>
      <c r="D733" t="s">
        <v>96</v>
      </c>
      <c r="E733" t="s">
        <v>157</v>
      </c>
      <c r="F733" t="s">
        <v>19</v>
      </c>
      <c r="G733">
        <v>1009000</v>
      </c>
      <c r="H733" s="1">
        <v>45157</v>
      </c>
      <c r="I733">
        <v>2023</v>
      </c>
      <c r="J733" t="s">
        <v>153</v>
      </c>
      <c r="K733">
        <v>8</v>
      </c>
      <c r="L733" t="s">
        <v>21</v>
      </c>
      <c r="M733" t="s">
        <v>30</v>
      </c>
      <c r="N733" t="s">
        <v>23</v>
      </c>
    </row>
    <row r="734" spans="1:14" x14ac:dyDescent="0.3">
      <c r="A734" t="s">
        <v>467</v>
      </c>
      <c r="B734" t="s">
        <v>105</v>
      </c>
      <c r="C734" t="s">
        <v>119</v>
      </c>
      <c r="D734" t="s">
        <v>75</v>
      </c>
      <c r="E734" t="s">
        <v>595</v>
      </c>
      <c r="F734" t="s">
        <v>36</v>
      </c>
      <c r="G734">
        <v>31619000</v>
      </c>
      <c r="H734" s="1">
        <v>43880</v>
      </c>
      <c r="I734">
        <v>2020</v>
      </c>
      <c r="J734" t="s">
        <v>108</v>
      </c>
      <c r="K734">
        <v>2</v>
      </c>
      <c r="L734" t="s">
        <v>38</v>
      </c>
      <c r="M734" t="s">
        <v>39</v>
      </c>
      <c r="N734" t="s">
        <v>23</v>
      </c>
    </row>
    <row r="735" spans="1:14" x14ac:dyDescent="0.3">
      <c r="A735" t="s">
        <v>232</v>
      </c>
      <c r="B735" t="s">
        <v>114</v>
      </c>
      <c r="C735" t="s">
        <v>115</v>
      </c>
      <c r="D735" t="s">
        <v>70</v>
      </c>
      <c r="E735" t="s">
        <v>596</v>
      </c>
      <c r="F735" t="s">
        <v>36</v>
      </c>
      <c r="G735">
        <v>21321000</v>
      </c>
      <c r="H735" s="1">
        <v>43833</v>
      </c>
      <c r="I735">
        <v>2020</v>
      </c>
      <c r="J735" t="s">
        <v>29</v>
      </c>
      <c r="K735">
        <v>1</v>
      </c>
      <c r="L735" t="s">
        <v>38</v>
      </c>
      <c r="M735" t="s">
        <v>39</v>
      </c>
      <c r="N735" t="s">
        <v>47</v>
      </c>
    </row>
    <row r="736" spans="1:14" x14ac:dyDescent="0.3">
      <c r="A736" t="s">
        <v>393</v>
      </c>
      <c r="B736" t="s">
        <v>59</v>
      </c>
      <c r="C736" t="s">
        <v>149</v>
      </c>
      <c r="D736" t="s">
        <v>75</v>
      </c>
      <c r="E736" t="s">
        <v>51</v>
      </c>
      <c r="F736" t="s">
        <v>103</v>
      </c>
      <c r="G736">
        <v>2643000</v>
      </c>
      <c r="H736" s="1">
        <v>45458</v>
      </c>
      <c r="I736">
        <v>2024</v>
      </c>
      <c r="J736" t="s">
        <v>141</v>
      </c>
      <c r="K736">
        <v>6</v>
      </c>
      <c r="L736" t="s">
        <v>38</v>
      </c>
      <c r="M736" t="s">
        <v>30</v>
      </c>
      <c r="N736" t="s">
        <v>31</v>
      </c>
    </row>
    <row r="737" spans="1:14" x14ac:dyDescent="0.3">
      <c r="A737" t="s">
        <v>309</v>
      </c>
      <c r="B737" t="s">
        <v>86</v>
      </c>
      <c r="C737" t="s">
        <v>283</v>
      </c>
      <c r="D737" t="s">
        <v>111</v>
      </c>
      <c r="E737" t="s">
        <v>369</v>
      </c>
      <c r="F737" t="s">
        <v>188</v>
      </c>
      <c r="G737">
        <v>1271000</v>
      </c>
      <c r="H737" s="1">
        <v>45212</v>
      </c>
      <c r="I737">
        <v>2023</v>
      </c>
      <c r="J737" t="s">
        <v>89</v>
      </c>
      <c r="K737">
        <v>10</v>
      </c>
      <c r="L737" t="s">
        <v>38</v>
      </c>
      <c r="M737" t="s">
        <v>30</v>
      </c>
      <c r="N737" t="s">
        <v>47</v>
      </c>
    </row>
    <row r="738" spans="1:14" x14ac:dyDescent="0.3">
      <c r="A738" t="s">
        <v>450</v>
      </c>
      <c r="B738" t="s">
        <v>68</v>
      </c>
      <c r="C738" t="s">
        <v>69</v>
      </c>
      <c r="D738" t="s">
        <v>70</v>
      </c>
      <c r="E738" t="s">
        <v>63</v>
      </c>
      <c r="F738" t="s">
        <v>103</v>
      </c>
      <c r="G738">
        <v>2894000</v>
      </c>
      <c r="H738" s="1">
        <v>44579</v>
      </c>
      <c r="I738">
        <v>2022</v>
      </c>
      <c r="J738" t="s">
        <v>29</v>
      </c>
      <c r="K738">
        <v>1</v>
      </c>
      <c r="L738" t="s">
        <v>38</v>
      </c>
      <c r="M738" t="s">
        <v>30</v>
      </c>
      <c r="N738" t="s">
        <v>31</v>
      </c>
    </row>
    <row r="739" spans="1:14" x14ac:dyDescent="0.3">
      <c r="A739" t="s">
        <v>241</v>
      </c>
      <c r="B739" t="s">
        <v>32</v>
      </c>
      <c r="C739" t="s">
        <v>101</v>
      </c>
      <c r="D739" t="s">
        <v>44</v>
      </c>
      <c r="E739" t="s">
        <v>192</v>
      </c>
      <c r="F739" t="s">
        <v>19</v>
      </c>
      <c r="G739">
        <v>1017000</v>
      </c>
      <c r="H739" s="1">
        <v>44516</v>
      </c>
      <c r="I739">
        <v>2021</v>
      </c>
      <c r="J739" t="s">
        <v>72</v>
      </c>
      <c r="K739">
        <v>11</v>
      </c>
      <c r="L739" t="s">
        <v>21</v>
      </c>
      <c r="M739" t="s">
        <v>30</v>
      </c>
      <c r="N739" t="s">
        <v>40</v>
      </c>
    </row>
    <row r="740" spans="1:14" x14ac:dyDescent="0.3">
      <c r="A740" t="s">
        <v>480</v>
      </c>
      <c r="B740" t="s">
        <v>59</v>
      </c>
      <c r="C740" t="s">
        <v>60</v>
      </c>
      <c r="D740" t="s">
        <v>44</v>
      </c>
      <c r="E740" t="s">
        <v>301</v>
      </c>
      <c r="F740" t="s">
        <v>132</v>
      </c>
      <c r="G740">
        <v>65689000</v>
      </c>
      <c r="H740" s="1">
        <v>45389</v>
      </c>
      <c r="I740">
        <v>2024</v>
      </c>
      <c r="J740" t="s">
        <v>20</v>
      </c>
      <c r="K740">
        <v>4</v>
      </c>
      <c r="L740" t="s">
        <v>65</v>
      </c>
      <c r="M740" t="s">
        <v>39</v>
      </c>
      <c r="N740" t="s">
        <v>31</v>
      </c>
    </row>
    <row r="741" spans="1:14" x14ac:dyDescent="0.3">
      <c r="A741" t="s">
        <v>331</v>
      </c>
      <c r="B741" t="s">
        <v>68</v>
      </c>
      <c r="C741" t="s">
        <v>69</v>
      </c>
      <c r="D741" t="s">
        <v>27</v>
      </c>
      <c r="E741" t="s">
        <v>597</v>
      </c>
      <c r="F741" t="s">
        <v>19</v>
      </c>
      <c r="G741">
        <v>201000</v>
      </c>
      <c r="H741" s="1">
        <v>44538</v>
      </c>
      <c r="I741">
        <v>2021</v>
      </c>
      <c r="J741" t="s">
        <v>99</v>
      </c>
      <c r="K741">
        <v>12</v>
      </c>
      <c r="L741" t="s">
        <v>21</v>
      </c>
      <c r="M741" t="s">
        <v>22</v>
      </c>
      <c r="N741" t="s">
        <v>31</v>
      </c>
    </row>
    <row r="742" spans="1:14" x14ac:dyDescent="0.3">
      <c r="A742" t="s">
        <v>145</v>
      </c>
      <c r="B742" t="s">
        <v>32</v>
      </c>
      <c r="C742" t="s">
        <v>101</v>
      </c>
      <c r="D742" t="s">
        <v>111</v>
      </c>
      <c r="E742" t="s">
        <v>598</v>
      </c>
      <c r="F742" t="s">
        <v>128</v>
      </c>
      <c r="G742">
        <v>20000</v>
      </c>
      <c r="H742" s="1">
        <v>44756</v>
      </c>
      <c r="I742">
        <v>2022</v>
      </c>
      <c r="J742" t="s">
        <v>57</v>
      </c>
      <c r="K742">
        <v>7</v>
      </c>
      <c r="L742" t="s">
        <v>21</v>
      </c>
      <c r="M742" t="s">
        <v>22</v>
      </c>
      <c r="N742" t="s">
        <v>40</v>
      </c>
    </row>
    <row r="743" spans="1:14" x14ac:dyDescent="0.3">
      <c r="A743" t="s">
        <v>413</v>
      </c>
      <c r="B743" t="s">
        <v>15</v>
      </c>
      <c r="C743" t="s">
        <v>53</v>
      </c>
      <c r="D743" t="s">
        <v>17</v>
      </c>
      <c r="E743" t="s">
        <v>200</v>
      </c>
      <c r="F743" t="s">
        <v>19</v>
      </c>
      <c r="G743">
        <v>152000</v>
      </c>
      <c r="H743" s="1">
        <v>45669</v>
      </c>
      <c r="I743">
        <v>2025</v>
      </c>
      <c r="J743" t="s">
        <v>29</v>
      </c>
      <c r="K743">
        <v>1</v>
      </c>
      <c r="L743" t="s">
        <v>21</v>
      </c>
      <c r="M743" t="s">
        <v>22</v>
      </c>
      <c r="N743" t="s">
        <v>23</v>
      </c>
    </row>
    <row r="744" spans="1:14" x14ac:dyDescent="0.3">
      <c r="A744" t="s">
        <v>167</v>
      </c>
      <c r="B744" t="s">
        <v>186</v>
      </c>
      <c r="C744" t="s">
        <v>127</v>
      </c>
      <c r="D744" t="s">
        <v>34</v>
      </c>
      <c r="E744" t="s">
        <v>599</v>
      </c>
      <c r="F744" t="s">
        <v>19</v>
      </c>
      <c r="G744">
        <v>788000</v>
      </c>
      <c r="H744" s="1">
        <v>44134</v>
      </c>
      <c r="I744">
        <v>2020</v>
      </c>
      <c r="J744" t="s">
        <v>89</v>
      </c>
      <c r="K744">
        <v>10</v>
      </c>
      <c r="L744" t="s">
        <v>21</v>
      </c>
      <c r="M744" t="s">
        <v>22</v>
      </c>
      <c r="N744" t="s">
        <v>31</v>
      </c>
    </row>
    <row r="745" spans="1:14" x14ac:dyDescent="0.3">
      <c r="A745" t="s">
        <v>224</v>
      </c>
      <c r="B745" t="s">
        <v>49</v>
      </c>
      <c r="C745" t="s">
        <v>50</v>
      </c>
      <c r="D745" t="s">
        <v>54</v>
      </c>
      <c r="E745" t="s">
        <v>416</v>
      </c>
      <c r="F745" t="s">
        <v>103</v>
      </c>
      <c r="G745">
        <v>3902000</v>
      </c>
      <c r="H745" s="1">
        <v>44691</v>
      </c>
      <c r="I745">
        <v>2022</v>
      </c>
      <c r="J745" t="s">
        <v>77</v>
      </c>
      <c r="K745">
        <v>5</v>
      </c>
      <c r="L745" t="s">
        <v>38</v>
      </c>
      <c r="M745" t="s">
        <v>30</v>
      </c>
      <c r="N745" t="s">
        <v>40</v>
      </c>
    </row>
    <row r="746" spans="1:14" x14ac:dyDescent="0.3">
      <c r="A746" t="s">
        <v>600</v>
      </c>
      <c r="B746" t="s">
        <v>114</v>
      </c>
      <c r="C746" t="s">
        <v>156</v>
      </c>
      <c r="D746" t="s">
        <v>111</v>
      </c>
      <c r="E746" t="s">
        <v>327</v>
      </c>
      <c r="F746" t="s">
        <v>36</v>
      </c>
      <c r="G746">
        <v>9519000</v>
      </c>
      <c r="H746" s="1">
        <v>44674</v>
      </c>
      <c r="I746">
        <v>2022</v>
      </c>
      <c r="J746" t="s">
        <v>20</v>
      </c>
      <c r="K746">
        <v>4</v>
      </c>
      <c r="L746" t="s">
        <v>38</v>
      </c>
      <c r="M746" t="s">
        <v>30</v>
      </c>
      <c r="N746" t="s">
        <v>47</v>
      </c>
    </row>
    <row r="747" spans="1:14" x14ac:dyDescent="0.3">
      <c r="A747" t="s">
        <v>267</v>
      </c>
      <c r="B747" t="s">
        <v>49</v>
      </c>
      <c r="C747" t="s">
        <v>50</v>
      </c>
      <c r="D747" t="s">
        <v>111</v>
      </c>
      <c r="E747" t="s">
        <v>601</v>
      </c>
      <c r="F747" t="s">
        <v>175</v>
      </c>
      <c r="G747">
        <v>396775000</v>
      </c>
      <c r="H747" s="1">
        <v>44742</v>
      </c>
      <c r="I747">
        <v>2022</v>
      </c>
      <c r="J747" t="s">
        <v>141</v>
      </c>
      <c r="K747">
        <v>6</v>
      </c>
      <c r="L747" t="s">
        <v>65</v>
      </c>
      <c r="M747" t="s">
        <v>66</v>
      </c>
      <c r="N747" t="s">
        <v>40</v>
      </c>
    </row>
    <row r="748" spans="1:14" x14ac:dyDescent="0.3">
      <c r="A748" t="s">
        <v>467</v>
      </c>
      <c r="B748" t="s">
        <v>105</v>
      </c>
      <c r="C748" t="s">
        <v>106</v>
      </c>
      <c r="D748" t="s">
        <v>44</v>
      </c>
      <c r="E748" t="s">
        <v>51</v>
      </c>
      <c r="F748" t="s">
        <v>103</v>
      </c>
      <c r="G748">
        <v>2828000</v>
      </c>
      <c r="H748" s="1">
        <v>45819</v>
      </c>
      <c r="I748">
        <v>2025</v>
      </c>
      <c r="J748" t="s">
        <v>141</v>
      </c>
      <c r="K748">
        <v>6</v>
      </c>
      <c r="L748" t="s">
        <v>38</v>
      </c>
      <c r="M748" t="s">
        <v>30</v>
      </c>
      <c r="N748" t="s">
        <v>23</v>
      </c>
    </row>
    <row r="749" spans="1:14" x14ac:dyDescent="0.3">
      <c r="A749" t="s">
        <v>382</v>
      </c>
      <c r="B749" t="s">
        <v>105</v>
      </c>
      <c r="C749" t="s">
        <v>106</v>
      </c>
      <c r="D749" t="s">
        <v>34</v>
      </c>
      <c r="E749" t="s">
        <v>602</v>
      </c>
      <c r="F749" t="s">
        <v>103</v>
      </c>
      <c r="G749">
        <v>4358000</v>
      </c>
      <c r="H749" s="1">
        <v>44171</v>
      </c>
      <c r="I749">
        <v>2020</v>
      </c>
      <c r="J749" t="s">
        <v>99</v>
      </c>
      <c r="K749">
        <v>12</v>
      </c>
      <c r="L749" t="s">
        <v>38</v>
      </c>
      <c r="M749" t="s">
        <v>30</v>
      </c>
      <c r="N749" t="s">
        <v>23</v>
      </c>
    </row>
    <row r="750" spans="1:14" x14ac:dyDescent="0.3">
      <c r="A750" t="s">
        <v>151</v>
      </c>
      <c r="B750" t="s">
        <v>105</v>
      </c>
      <c r="C750" t="s">
        <v>345</v>
      </c>
      <c r="D750" t="s">
        <v>54</v>
      </c>
      <c r="E750" t="s">
        <v>192</v>
      </c>
      <c r="F750" t="s">
        <v>19</v>
      </c>
      <c r="G750">
        <v>1416000</v>
      </c>
      <c r="H750" s="1">
        <v>43915</v>
      </c>
      <c r="I750">
        <v>2020</v>
      </c>
      <c r="J750" t="s">
        <v>37</v>
      </c>
      <c r="K750">
        <v>3</v>
      </c>
      <c r="L750" t="s">
        <v>21</v>
      </c>
      <c r="M750" t="s">
        <v>30</v>
      </c>
      <c r="N750" t="s">
        <v>23</v>
      </c>
    </row>
    <row r="751" spans="1:14" x14ac:dyDescent="0.3">
      <c r="A751" t="s">
        <v>235</v>
      </c>
      <c r="B751" t="s">
        <v>94</v>
      </c>
      <c r="C751" t="s">
        <v>159</v>
      </c>
      <c r="D751" t="s">
        <v>54</v>
      </c>
      <c r="E751" t="s">
        <v>315</v>
      </c>
      <c r="F751" t="s">
        <v>19</v>
      </c>
      <c r="G751">
        <v>500000</v>
      </c>
      <c r="H751" s="1">
        <v>45279</v>
      </c>
      <c r="I751">
        <v>2023</v>
      </c>
      <c r="J751" t="s">
        <v>99</v>
      </c>
      <c r="K751">
        <v>12</v>
      </c>
      <c r="L751" t="s">
        <v>21</v>
      </c>
      <c r="M751" t="s">
        <v>22</v>
      </c>
      <c r="N751" t="s">
        <v>40</v>
      </c>
    </row>
    <row r="752" spans="1:14" x14ac:dyDescent="0.3">
      <c r="A752" t="s">
        <v>379</v>
      </c>
      <c r="B752" t="s">
        <v>42</v>
      </c>
      <c r="C752" t="s">
        <v>205</v>
      </c>
      <c r="D752" t="s">
        <v>54</v>
      </c>
      <c r="E752" t="s">
        <v>270</v>
      </c>
      <c r="F752" t="s">
        <v>103</v>
      </c>
      <c r="G752">
        <v>1372000</v>
      </c>
      <c r="H752" s="1">
        <v>44079</v>
      </c>
      <c r="I752">
        <v>2020</v>
      </c>
      <c r="J752" t="s">
        <v>46</v>
      </c>
      <c r="K752">
        <v>9</v>
      </c>
      <c r="L752" t="s">
        <v>38</v>
      </c>
      <c r="M752" t="s">
        <v>30</v>
      </c>
      <c r="N752" t="s">
        <v>47</v>
      </c>
    </row>
    <row r="753" spans="1:14" x14ac:dyDescent="0.3">
      <c r="A753" t="s">
        <v>233</v>
      </c>
      <c r="B753" t="s">
        <v>59</v>
      </c>
      <c r="C753" t="s">
        <v>123</v>
      </c>
      <c r="D753" t="s">
        <v>70</v>
      </c>
      <c r="E753" t="s">
        <v>61</v>
      </c>
      <c r="F753" t="s">
        <v>128</v>
      </c>
      <c r="G753">
        <v>84000</v>
      </c>
      <c r="H753" s="1">
        <v>44150</v>
      </c>
      <c r="I753">
        <v>2020</v>
      </c>
      <c r="J753" t="s">
        <v>72</v>
      </c>
      <c r="K753">
        <v>11</v>
      </c>
      <c r="L753" t="s">
        <v>21</v>
      </c>
      <c r="M753" t="s">
        <v>22</v>
      </c>
      <c r="N753" t="s">
        <v>31</v>
      </c>
    </row>
    <row r="754" spans="1:14" x14ac:dyDescent="0.3">
      <c r="A754" t="s">
        <v>93</v>
      </c>
      <c r="B754" t="s">
        <v>86</v>
      </c>
      <c r="C754" t="s">
        <v>228</v>
      </c>
      <c r="D754" t="s">
        <v>70</v>
      </c>
      <c r="E754" t="s">
        <v>549</v>
      </c>
      <c r="F754" t="s">
        <v>128</v>
      </c>
      <c r="G754">
        <v>33000</v>
      </c>
      <c r="H754" s="1">
        <v>45816</v>
      </c>
      <c r="I754">
        <v>2025</v>
      </c>
      <c r="J754" t="s">
        <v>141</v>
      </c>
      <c r="K754">
        <v>6</v>
      </c>
      <c r="L754" t="s">
        <v>21</v>
      </c>
      <c r="M754" t="s">
        <v>22</v>
      </c>
      <c r="N754" t="s">
        <v>47</v>
      </c>
    </row>
    <row r="755" spans="1:14" x14ac:dyDescent="0.3">
      <c r="A755" t="s">
        <v>58</v>
      </c>
      <c r="B755" t="s">
        <v>86</v>
      </c>
      <c r="C755" t="s">
        <v>283</v>
      </c>
      <c r="D755" t="s">
        <v>70</v>
      </c>
      <c r="E755" t="s">
        <v>603</v>
      </c>
      <c r="F755" t="s">
        <v>128</v>
      </c>
      <c r="G755">
        <v>14000</v>
      </c>
      <c r="H755" s="1">
        <v>44116</v>
      </c>
      <c r="I755">
        <v>2020</v>
      </c>
      <c r="J755" t="s">
        <v>89</v>
      </c>
      <c r="K755">
        <v>10</v>
      </c>
      <c r="L755" t="s">
        <v>21</v>
      </c>
      <c r="M755" t="s">
        <v>22</v>
      </c>
      <c r="N755" t="s">
        <v>47</v>
      </c>
    </row>
    <row r="756" spans="1:14" x14ac:dyDescent="0.3">
      <c r="A756" t="s">
        <v>297</v>
      </c>
      <c r="B756" t="s">
        <v>186</v>
      </c>
      <c r="C756" t="s">
        <v>341</v>
      </c>
      <c r="D756" t="s">
        <v>27</v>
      </c>
      <c r="E756" t="s">
        <v>604</v>
      </c>
      <c r="F756" t="s">
        <v>103</v>
      </c>
      <c r="G756">
        <v>1458000</v>
      </c>
      <c r="H756" s="1">
        <v>44230</v>
      </c>
      <c r="I756">
        <v>2021</v>
      </c>
      <c r="J756" t="s">
        <v>108</v>
      </c>
      <c r="K756">
        <v>2</v>
      </c>
      <c r="L756" t="s">
        <v>38</v>
      </c>
      <c r="M756" t="s">
        <v>30</v>
      </c>
      <c r="N756" t="s">
        <v>31</v>
      </c>
    </row>
    <row r="757" spans="1:14" x14ac:dyDescent="0.3">
      <c r="A757" t="s">
        <v>137</v>
      </c>
      <c r="B757" t="s">
        <v>186</v>
      </c>
      <c r="C757" t="s">
        <v>149</v>
      </c>
      <c r="D757" t="s">
        <v>70</v>
      </c>
      <c r="E757" t="s">
        <v>61</v>
      </c>
      <c r="F757" t="s">
        <v>36</v>
      </c>
      <c r="G757">
        <v>45193000</v>
      </c>
      <c r="H757" s="1">
        <v>45792</v>
      </c>
      <c r="I757">
        <v>2025</v>
      </c>
      <c r="J757" t="s">
        <v>77</v>
      </c>
      <c r="K757">
        <v>5</v>
      </c>
      <c r="L757" t="s">
        <v>38</v>
      </c>
      <c r="M757" t="s">
        <v>39</v>
      </c>
      <c r="N757" t="s">
        <v>31</v>
      </c>
    </row>
    <row r="758" spans="1:14" x14ac:dyDescent="0.3">
      <c r="A758" t="s">
        <v>351</v>
      </c>
      <c r="B758" t="s">
        <v>86</v>
      </c>
      <c r="C758" t="s">
        <v>283</v>
      </c>
      <c r="D758" t="s">
        <v>96</v>
      </c>
      <c r="E758" t="s">
        <v>97</v>
      </c>
      <c r="F758" t="s">
        <v>56</v>
      </c>
      <c r="G758">
        <v>417000</v>
      </c>
      <c r="H758" s="1">
        <v>45297</v>
      </c>
      <c r="I758">
        <v>2024</v>
      </c>
      <c r="J758" t="s">
        <v>29</v>
      </c>
      <c r="K758">
        <v>1</v>
      </c>
      <c r="L758" t="s">
        <v>38</v>
      </c>
      <c r="M758" t="s">
        <v>22</v>
      </c>
      <c r="N758" t="s">
        <v>47</v>
      </c>
    </row>
    <row r="759" spans="1:14" x14ac:dyDescent="0.3">
      <c r="A759" t="s">
        <v>210</v>
      </c>
      <c r="B759" t="s">
        <v>94</v>
      </c>
      <c r="C759" t="s">
        <v>159</v>
      </c>
      <c r="D759" t="s">
        <v>111</v>
      </c>
      <c r="E759" t="s">
        <v>411</v>
      </c>
      <c r="F759" t="s">
        <v>19</v>
      </c>
      <c r="G759">
        <v>358000</v>
      </c>
      <c r="H759" s="1">
        <v>45321</v>
      </c>
      <c r="I759">
        <v>2024</v>
      </c>
      <c r="J759" t="s">
        <v>29</v>
      </c>
      <c r="K759">
        <v>1</v>
      </c>
      <c r="L759" t="s">
        <v>21</v>
      </c>
      <c r="M759" t="s">
        <v>22</v>
      </c>
      <c r="N759" t="s">
        <v>40</v>
      </c>
    </row>
    <row r="760" spans="1:14" x14ac:dyDescent="0.3">
      <c r="A760" t="s">
        <v>58</v>
      </c>
      <c r="B760" t="s">
        <v>94</v>
      </c>
      <c r="C760" t="s">
        <v>95</v>
      </c>
      <c r="D760" t="s">
        <v>136</v>
      </c>
      <c r="E760" t="s">
        <v>242</v>
      </c>
      <c r="F760" t="s">
        <v>36</v>
      </c>
      <c r="G760">
        <v>59611000</v>
      </c>
      <c r="H760" s="1">
        <v>44679</v>
      </c>
      <c r="I760">
        <v>2022</v>
      </c>
      <c r="J760" t="s">
        <v>20</v>
      </c>
      <c r="K760">
        <v>4</v>
      </c>
      <c r="L760" t="s">
        <v>38</v>
      </c>
      <c r="M760" t="s">
        <v>39</v>
      </c>
      <c r="N760" t="s">
        <v>40</v>
      </c>
    </row>
    <row r="761" spans="1:14" x14ac:dyDescent="0.3">
      <c r="A761" t="s">
        <v>198</v>
      </c>
      <c r="B761" t="s">
        <v>105</v>
      </c>
      <c r="C761" t="s">
        <v>345</v>
      </c>
      <c r="D761" t="s">
        <v>34</v>
      </c>
      <c r="E761" t="s">
        <v>469</v>
      </c>
      <c r="F761" t="s">
        <v>103</v>
      </c>
      <c r="G761">
        <v>8462000</v>
      </c>
      <c r="H761" s="1">
        <v>45607</v>
      </c>
      <c r="I761">
        <v>2024</v>
      </c>
      <c r="J761" t="s">
        <v>72</v>
      </c>
      <c r="K761">
        <v>11</v>
      </c>
      <c r="L761" t="s">
        <v>38</v>
      </c>
      <c r="M761" t="s">
        <v>30</v>
      </c>
      <c r="N761" t="s">
        <v>23</v>
      </c>
    </row>
    <row r="762" spans="1:14" x14ac:dyDescent="0.3">
      <c r="A762" t="s">
        <v>193</v>
      </c>
      <c r="B762" t="s">
        <v>68</v>
      </c>
      <c r="C762" t="s">
        <v>149</v>
      </c>
      <c r="D762" t="s">
        <v>34</v>
      </c>
      <c r="E762" t="s">
        <v>579</v>
      </c>
      <c r="F762" t="s">
        <v>56</v>
      </c>
      <c r="G762">
        <v>142000</v>
      </c>
      <c r="H762" s="1">
        <v>44969</v>
      </c>
      <c r="I762">
        <v>2023</v>
      </c>
      <c r="J762" t="s">
        <v>108</v>
      </c>
      <c r="K762">
        <v>2</v>
      </c>
      <c r="L762" t="s">
        <v>38</v>
      </c>
      <c r="M762" t="s">
        <v>22</v>
      </c>
      <c r="N762" t="s">
        <v>31</v>
      </c>
    </row>
    <row r="763" spans="1:14" x14ac:dyDescent="0.3">
      <c r="A763" t="s">
        <v>316</v>
      </c>
      <c r="B763" t="s">
        <v>114</v>
      </c>
      <c r="C763" t="s">
        <v>115</v>
      </c>
      <c r="D763" t="s">
        <v>34</v>
      </c>
      <c r="E763" t="s">
        <v>242</v>
      </c>
      <c r="F763" t="s">
        <v>103</v>
      </c>
      <c r="G763">
        <v>2326000</v>
      </c>
      <c r="H763" s="1">
        <v>43917</v>
      </c>
      <c r="I763">
        <v>2020</v>
      </c>
      <c r="J763" t="s">
        <v>37</v>
      </c>
      <c r="K763">
        <v>3</v>
      </c>
      <c r="L763" t="s">
        <v>38</v>
      </c>
      <c r="M763" t="s">
        <v>30</v>
      </c>
      <c r="N763" t="s">
        <v>47</v>
      </c>
    </row>
    <row r="764" spans="1:14" x14ac:dyDescent="0.3">
      <c r="A764" t="s">
        <v>269</v>
      </c>
      <c r="B764" t="s">
        <v>42</v>
      </c>
      <c r="C764" t="s">
        <v>205</v>
      </c>
      <c r="D764" t="s">
        <v>70</v>
      </c>
      <c r="E764" t="s">
        <v>63</v>
      </c>
      <c r="F764" t="s">
        <v>19</v>
      </c>
      <c r="G764">
        <v>125000</v>
      </c>
      <c r="H764" s="1">
        <v>45451</v>
      </c>
      <c r="I764">
        <v>2024</v>
      </c>
      <c r="J764" t="s">
        <v>141</v>
      </c>
      <c r="K764">
        <v>6</v>
      </c>
      <c r="L764" t="s">
        <v>21</v>
      </c>
      <c r="M764" t="s">
        <v>22</v>
      </c>
      <c r="N764" t="s">
        <v>47</v>
      </c>
    </row>
    <row r="765" spans="1:14" x14ac:dyDescent="0.3">
      <c r="A765" t="s">
        <v>249</v>
      </c>
      <c r="B765" t="s">
        <v>49</v>
      </c>
      <c r="C765" t="s">
        <v>50</v>
      </c>
      <c r="D765" t="s">
        <v>70</v>
      </c>
      <c r="E765" t="s">
        <v>270</v>
      </c>
      <c r="F765" t="s">
        <v>19</v>
      </c>
      <c r="G765">
        <v>778000</v>
      </c>
      <c r="H765" s="1">
        <v>45194</v>
      </c>
      <c r="I765">
        <v>2023</v>
      </c>
      <c r="J765" t="s">
        <v>46</v>
      </c>
      <c r="K765">
        <v>9</v>
      </c>
      <c r="L765" t="s">
        <v>21</v>
      </c>
      <c r="M765" t="s">
        <v>22</v>
      </c>
      <c r="N765" t="s">
        <v>40</v>
      </c>
    </row>
    <row r="766" spans="1:14" x14ac:dyDescent="0.3">
      <c r="A766" t="s">
        <v>272</v>
      </c>
      <c r="B766" t="s">
        <v>49</v>
      </c>
      <c r="C766" t="s">
        <v>135</v>
      </c>
      <c r="D766" t="s">
        <v>27</v>
      </c>
      <c r="E766" t="s">
        <v>469</v>
      </c>
      <c r="F766" t="s">
        <v>19</v>
      </c>
      <c r="G766">
        <v>57000</v>
      </c>
      <c r="H766" s="1">
        <v>44398</v>
      </c>
      <c r="I766">
        <v>2021</v>
      </c>
      <c r="J766" t="s">
        <v>57</v>
      </c>
      <c r="K766">
        <v>7</v>
      </c>
      <c r="L766" t="s">
        <v>21</v>
      </c>
      <c r="M766" t="s">
        <v>22</v>
      </c>
      <c r="N766" t="s">
        <v>40</v>
      </c>
    </row>
    <row r="767" spans="1:14" x14ac:dyDescent="0.3">
      <c r="A767" t="s">
        <v>326</v>
      </c>
      <c r="B767" t="s">
        <v>126</v>
      </c>
      <c r="C767" t="s">
        <v>265</v>
      </c>
      <c r="D767" t="s">
        <v>75</v>
      </c>
      <c r="E767" t="s">
        <v>605</v>
      </c>
      <c r="F767" t="s">
        <v>103</v>
      </c>
      <c r="G767">
        <v>4680000</v>
      </c>
      <c r="H767" s="1">
        <v>44359</v>
      </c>
      <c r="I767">
        <v>2021</v>
      </c>
      <c r="J767" t="s">
        <v>141</v>
      </c>
      <c r="K767">
        <v>6</v>
      </c>
      <c r="L767" t="s">
        <v>38</v>
      </c>
      <c r="M767" t="s">
        <v>30</v>
      </c>
      <c r="N767" t="s">
        <v>40</v>
      </c>
    </row>
    <row r="768" spans="1:14" x14ac:dyDescent="0.3">
      <c r="A768" t="s">
        <v>468</v>
      </c>
      <c r="B768" t="s">
        <v>126</v>
      </c>
      <c r="C768" t="s">
        <v>159</v>
      </c>
      <c r="D768" t="s">
        <v>34</v>
      </c>
      <c r="E768" t="s">
        <v>301</v>
      </c>
      <c r="F768" t="s">
        <v>19</v>
      </c>
      <c r="G768">
        <v>833000</v>
      </c>
      <c r="H768" s="1">
        <v>43950</v>
      </c>
      <c r="I768">
        <v>2020</v>
      </c>
      <c r="J768" t="s">
        <v>20</v>
      </c>
      <c r="K768">
        <v>4</v>
      </c>
      <c r="L768" t="s">
        <v>21</v>
      </c>
      <c r="M768" t="s">
        <v>22</v>
      </c>
      <c r="N768" t="s">
        <v>40</v>
      </c>
    </row>
    <row r="769" spans="1:14" x14ac:dyDescent="0.3">
      <c r="A769" t="s">
        <v>425</v>
      </c>
      <c r="B769" t="s">
        <v>81</v>
      </c>
      <c r="C769" t="s">
        <v>319</v>
      </c>
      <c r="D769" t="s">
        <v>96</v>
      </c>
      <c r="E769" t="s">
        <v>121</v>
      </c>
      <c r="F769" t="s">
        <v>56</v>
      </c>
      <c r="G769">
        <v>753000</v>
      </c>
      <c r="H769" s="1">
        <v>45698</v>
      </c>
      <c r="I769">
        <v>2025</v>
      </c>
      <c r="J769" t="s">
        <v>108</v>
      </c>
      <c r="K769">
        <v>2</v>
      </c>
      <c r="L769" t="s">
        <v>38</v>
      </c>
      <c r="M769" t="s">
        <v>22</v>
      </c>
      <c r="N769" t="s">
        <v>84</v>
      </c>
    </row>
    <row r="770" spans="1:14" x14ac:dyDescent="0.3">
      <c r="A770" t="s">
        <v>323</v>
      </c>
      <c r="B770" t="s">
        <v>32</v>
      </c>
      <c r="C770" t="s">
        <v>101</v>
      </c>
      <c r="D770" t="s">
        <v>17</v>
      </c>
      <c r="E770" t="s">
        <v>606</v>
      </c>
      <c r="F770" t="s">
        <v>103</v>
      </c>
      <c r="G770">
        <v>2525000</v>
      </c>
      <c r="H770" s="1">
        <v>45400</v>
      </c>
      <c r="I770">
        <v>2024</v>
      </c>
      <c r="J770" t="s">
        <v>20</v>
      </c>
      <c r="K770">
        <v>4</v>
      </c>
      <c r="L770" t="s">
        <v>38</v>
      </c>
      <c r="M770" t="s">
        <v>30</v>
      </c>
      <c r="N770" t="s">
        <v>40</v>
      </c>
    </row>
    <row r="771" spans="1:14" x14ac:dyDescent="0.3">
      <c r="A771" t="s">
        <v>332</v>
      </c>
      <c r="B771" t="s">
        <v>114</v>
      </c>
      <c r="C771" t="s">
        <v>243</v>
      </c>
      <c r="D771" t="s">
        <v>34</v>
      </c>
      <c r="E771" t="s">
        <v>439</v>
      </c>
      <c r="F771" t="s">
        <v>19</v>
      </c>
      <c r="G771">
        <v>1034000</v>
      </c>
      <c r="H771" s="1">
        <v>45260</v>
      </c>
      <c r="I771">
        <v>2023</v>
      </c>
      <c r="J771" t="s">
        <v>72</v>
      </c>
      <c r="K771">
        <v>11</v>
      </c>
      <c r="L771" t="s">
        <v>21</v>
      </c>
      <c r="M771" t="s">
        <v>30</v>
      </c>
      <c r="N771" t="s">
        <v>47</v>
      </c>
    </row>
    <row r="772" spans="1:14" x14ac:dyDescent="0.3">
      <c r="A772" t="s">
        <v>607</v>
      </c>
      <c r="B772" t="s">
        <v>32</v>
      </c>
      <c r="C772" t="s">
        <v>138</v>
      </c>
      <c r="D772" t="s">
        <v>96</v>
      </c>
      <c r="E772" t="s">
        <v>369</v>
      </c>
      <c r="F772" t="s">
        <v>132</v>
      </c>
      <c r="G772">
        <v>26986000</v>
      </c>
      <c r="H772" s="1">
        <v>44674</v>
      </c>
      <c r="I772">
        <v>2022</v>
      </c>
      <c r="J772" t="s">
        <v>20</v>
      </c>
      <c r="K772">
        <v>4</v>
      </c>
      <c r="L772" t="s">
        <v>65</v>
      </c>
      <c r="M772" t="s">
        <v>39</v>
      </c>
      <c r="N772" t="s">
        <v>40</v>
      </c>
    </row>
    <row r="773" spans="1:14" x14ac:dyDescent="0.3">
      <c r="A773" t="s">
        <v>318</v>
      </c>
      <c r="B773" t="s">
        <v>186</v>
      </c>
      <c r="C773" t="s">
        <v>127</v>
      </c>
      <c r="D773" t="s">
        <v>54</v>
      </c>
      <c r="E773" t="s">
        <v>51</v>
      </c>
      <c r="F773" t="s">
        <v>103</v>
      </c>
      <c r="G773">
        <v>9897000</v>
      </c>
      <c r="H773" s="1">
        <v>45534</v>
      </c>
      <c r="I773">
        <v>2024</v>
      </c>
      <c r="J773" t="s">
        <v>153</v>
      </c>
      <c r="K773">
        <v>8</v>
      </c>
      <c r="L773" t="s">
        <v>38</v>
      </c>
      <c r="M773" t="s">
        <v>30</v>
      </c>
      <c r="N773" t="s">
        <v>31</v>
      </c>
    </row>
    <row r="774" spans="1:14" x14ac:dyDescent="0.3">
      <c r="A774" t="s">
        <v>191</v>
      </c>
      <c r="B774" t="s">
        <v>68</v>
      </c>
      <c r="C774" t="s">
        <v>69</v>
      </c>
      <c r="D774" t="s">
        <v>17</v>
      </c>
      <c r="E774" t="s">
        <v>226</v>
      </c>
      <c r="F774" t="s">
        <v>19</v>
      </c>
      <c r="G774">
        <v>80000</v>
      </c>
      <c r="H774" s="1">
        <v>44099</v>
      </c>
      <c r="I774">
        <v>2020</v>
      </c>
      <c r="J774" t="s">
        <v>46</v>
      </c>
      <c r="K774">
        <v>9</v>
      </c>
      <c r="L774" t="s">
        <v>21</v>
      </c>
      <c r="M774" t="s">
        <v>22</v>
      </c>
      <c r="N774" t="s">
        <v>31</v>
      </c>
    </row>
    <row r="775" spans="1:14" x14ac:dyDescent="0.3">
      <c r="A775" t="s">
        <v>237</v>
      </c>
      <c r="B775" t="s">
        <v>105</v>
      </c>
      <c r="C775" t="s">
        <v>119</v>
      </c>
      <c r="D775" t="s">
        <v>75</v>
      </c>
      <c r="E775" t="s">
        <v>63</v>
      </c>
      <c r="F775" t="s">
        <v>103</v>
      </c>
      <c r="G775">
        <v>2933000</v>
      </c>
      <c r="H775" s="1">
        <v>45817</v>
      </c>
      <c r="I775">
        <v>2025</v>
      </c>
      <c r="J775" t="s">
        <v>141</v>
      </c>
      <c r="K775">
        <v>6</v>
      </c>
      <c r="L775" t="s">
        <v>38</v>
      </c>
      <c r="M775" t="s">
        <v>30</v>
      </c>
      <c r="N775" t="s">
        <v>23</v>
      </c>
    </row>
    <row r="776" spans="1:14" x14ac:dyDescent="0.3">
      <c r="A776" t="s">
        <v>269</v>
      </c>
      <c r="B776" t="s">
        <v>81</v>
      </c>
      <c r="C776" t="s">
        <v>250</v>
      </c>
      <c r="D776" t="s">
        <v>44</v>
      </c>
      <c r="E776" t="s">
        <v>315</v>
      </c>
      <c r="F776" t="s">
        <v>19</v>
      </c>
      <c r="G776">
        <v>947000</v>
      </c>
      <c r="H776" s="1">
        <v>45252</v>
      </c>
      <c r="I776">
        <v>2023</v>
      </c>
      <c r="J776" t="s">
        <v>72</v>
      </c>
      <c r="K776">
        <v>11</v>
      </c>
      <c r="L776" t="s">
        <v>21</v>
      </c>
      <c r="M776" t="s">
        <v>22</v>
      </c>
      <c r="N776" t="s">
        <v>84</v>
      </c>
    </row>
    <row r="777" spans="1:14" x14ac:dyDescent="0.3">
      <c r="A777" t="s">
        <v>467</v>
      </c>
      <c r="B777" t="s">
        <v>105</v>
      </c>
      <c r="C777" t="s">
        <v>345</v>
      </c>
      <c r="D777" t="s">
        <v>54</v>
      </c>
      <c r="E777" t="s">
        <v>608</v>
      </c>
      <c r="F777" t="s">
        <v>92</v>
      </c>
      <c r="G777">
        <v>254000</v>
      </c>
      <c r="H777" s="1">
        <v>44701</v>
      </c>
      <c r="I777">
        <v>2022</v>
      </c>
      <c r="J777" t="s">
        <v>77</v>
      </c>
      <c r="K777">
        <v>5</v>
      </c>
      <c r="L777" t="s">
        <v>65</v>
      </c>
      <c r="M777" t="s">
        <v>22</v>
      </c>
      <c r="N777" t="s">
        <v>23</v>
      </c>
    </row>
    <row r="778" spans="1:14" x14ac:dyDescent="0.3">
      <c r="A778" t="s">
        <v>239</v>
      </c>
      <c r="B778" t="s">
        <v>81</v>
      </c>
      <c r="C778" t="s">
        <v>130</v>
      </c>
      <c r="D778" t="s">
        <v>17</v>
      </c>
      <c r="E778" t="s">
        <v>609</v>
      </c>
      <c r="F778" t="s">
        <v>117</v>
      </c>
      <c r="G778">
        <v>34000</v>
      </c>
      <c r="H778" s="1">
        <v>45182</v>
      </c>
      <c r="I778">
        <v>2023</v>
      </c>
      <c r="J778" t="s">
        <v>46</v>
      </c>
      <c r="K778">
        <v>9</v>
      </c>
      <c r="L778" t="s">
        <v>21</v>
      </c>
      <c r="M778" t="s">
        <v>22</v>
      </c>
      <c r="N778" t="s">
        <v>84</v>
      </c>
    </row>
    <row r="779" spans="1:14" x14ac:dyDescent="0.3">
      <c r="A779" t="s">
        <v>610</v>
      </c>
      <c r="B779" t="s">
        <v>94</v>
      </c>
      <c r="C779" t="s">
        <v>146</v>
      </c>
      <c r="D779" t="s">
        <v>27</v>
      </c>
      <c r="E779" t="s">
        <v>369</v>
      </c>
      <c r="F779" t="s">
        <v>132</v>
      </c>
      <c r="G779">
        <v>141405000</v>
      </c>
      <c r="H779" s="1">
        <v>45433</v>
      </c>
      <c r="I779">
        <v>2024</v>
      </c>
      <c r="J779" t="s">
        <v>77</v>
      </c>
      <c r="K779">
        <v>5</v>
      </c>
      <c r="L779" t="s">
        <v>65</v>
      </c>
      <c r="M779" t="s">
        <v>66</v>
      </c>
      <c r="N779" t="s">
        <v>40</v>
      </c>
    </row>
    <row r="780" spans="1:14" x14ac:dyDescent="0.3">
      <c r="A780" t="s">
        <v>85</v>
      </c>
      <c r="B780" t="s">
        <v>15</v>
      </c>
      <c r="C780" t="s">
        <v>16</v>
      </c>
      <c r="D780" t="s">
        <v>96</v>
      </c>
      <c r="E780" t="s">
        <v>611</v>
      </c>
      <c r="F780" t="s">
        <v>117</v>
      </c>
      <c r="G780">
        <v>105000</v>
      </c>
      <c r="H780" s="1">
        <v>44129</v>
      </c>
      <c r="I780">
        <v>2020</v>
      </c>
      <c r="J780" t="s">
        <v>89</v>
      </c>
      <c r="K780">
        <v>10</v>
      </c>
      <c r="L780" t="s">
        <v>21</v>
      </c>
      <c r="M780" t="s">
        <v>22</v>
      </c>
      <c r="N780" t="s">
        <v>23</v>
      </c>
    </row>
    <row r="781" spans="1:14" x14ac:dyDescent="0.3">
      <c r="A781" t="s">
        <v>318</v>
      </c>
      <c r="B781" t="s">
        <v>114</v>
      </c>
      <c r="C781" t="s">
        <v>243</v>
      </c>
      <c r="D781" t="s">
        <v>75</v>
      </c>
      <c r="E781" t="s">
        <v>112</v>
      </c>
      <c r="F781" t="s">
        <v>19</v>
      </c>
      <c r="G781">
        <v>532000</v>
      </c>
      <c r="H781" s="1">
        <v>44998</v>
      </c>
      <c r="I781">
        <v>2023</v>
      </c>
      <c r="J781" t="s">
        <v>37</v>
      </c>
      <c r="K781">
        <v>3</v>
      </c>
      <c r="L781" t="s">
        <v>21</v>
      </c>
      <c r="M781" t="s">
        <v>22</v>
      </c>
      <c r="N781" t="s">
        <v>47</v>
      </c>
    </row>
    <row r="782" spans="1:14" x14ac:dyDescent="0.3">
      <c r="A782" t="s">
        <v>438</v>
      </c>
      <c r="B782" t="s">
        <v>25</v>
      </c>
      <c r="C782" t="s">
        <v>171</v>
      </c>
      <c r="D782" t="s">
        <v>34</v>
      </c>
      <c r="E782" t="s">
        <v>612</v>
      </c>
      <c r="F782" t="s">
        <v>19</v>
      </c>
      <c r="G782">
        <v>647000</v>
      </c>
      <c r="H782" s="1">
        <v>45375</v>
      </c>
      <c r="I782">
        <v>2024</v>
      </c>
      <c r="J782" t="s">
        <v>37</v>
      </c>
      <c r="K782">
        <v>3</v>
      </c>
      <c r="L782" t="s">
        <v>21</v>
      </c>
      <c r="M782" t="s">
        <v>22</v>
      </c>
      <c r="N782" t="s">
        <v>31</v>
      </c>
    </row>
    <row r="783" spans="1:14" x14ac:dyDescent="0.3">
      <c r="A783" t="s">
        <v>427</v>
      </c>
      <c r="B783" t="s">
        <v>32</v>
      </c>
      <c r="C783" t="s">
        <v>101</v>
      </c>
      <c r="D783" t="s">
        <v>70</v>
      </c>
      <c r="E783" t="s">
        <v>183</v>
      </c>
      <c r="F783" t="s">
        <v>56</v>
      </c>
      <c r="G783">
        <v>349000</v>
      </c>
      <c r="H783" s="1">
        <v>45038</v>
      </c>
      <c r="I783">
        <v>2023</v>
      </c>
      <c r="J783" t="s">
        <v>20</v>
      </c>
      <c r="K783">
        <v>4</v>
      </c>
      <c r="L783" t="s">
        <v>38</v>
      </c>
      <c r="M783" t="s">
        <v>22</v>
      </c>
      <c r="N783" t="s">
        <v>40</v>
      </c>
    </row>
    <row r="784" spans="1:14" x14ac:dyDescent="0.3">
      <c r="A784" t="s">
        <v>52</v>
      </c>
      <c r="B784" t="s">
        <v>86</v>
      </c>
      <c r="C784" t="s">
        <v>339</v>
      </c>
      <c r="D784" t="s">
        <v>136</v>
      </c>
      <c r="E784" t="s">
        <v>553</v>
      </c>
      <c r="F784" t="s">
        <v>19</v>
      </c>
      <c r="G784">
        <v>127000</v>
      </c>
      <c r="H784" s="1">
        <v>44297</v>
      </c>
      <c r="I784">
        <v>2021</v>
      </c>
      <c r="J784" t="s">
        <v>20</v>
      </c>
      <c r="K784">
        <v>4</v>
      </c>
      <c r="L784" t="s">
        <v>21</v>
      </c>
      <c r="M784" t="s">
        <v>22</v>
      </c>
      <c r="N784" t="s">
        <v>47</v>
      </c>
    </row>
    <row r="785" spans="1:14" x14ac:dyDescent="0.3">
      <c r="A785" t="s">
        <v>145</v>
      </c>
      <c r="B785" t="s">
        <v>32</v>
      </c>
      <c r="C785" t="s">
        <v>33</v>
      </c>
      <c r="D785" t="s">
        <v>70</v>
      </c>
      <c r="E785" t="s">
        <v>192</v>
      </c>
      <c r="F785" t="s">
        <v>132</v>
      </c>
      <c r="G785">
        <v>51004000</v>
      </c>
      <c r="H785" s="1">
        <v>45274</v>
      </c>
      <c r="I785">
        <v>2023</v>
      </c>
      <c r="J785" t="s">
        <v>99</v>
      </c>
      <c r="K785">
        <v>12</v>
      </c>
      <c r="L785" t="s">
        <v>65</v>
      </c>
      <c r="M785" t="s">
        <v>39</v>
      </c>
      <c r="N785" t="s">
        <v>40</v>
      </c>
    </row>
    <row r="786" spans="1:14" x14ac:dyDescent="0.3">
      <c r="A786" t="s">
        <v>223</v>
      </c>
      <c r="B786" t="s">
        <v>186</v>
      </c>
      <c r="C786" t="s">
        <v>341</v>
      </c>
      <c r="D786" t="s">
        <v>70</v>
      </c>
      <c r="E786" t="s">
        <v>593</v>
      </c>
      <c r="F786" t="s">
        <v>19</v>
      </c>
      <c r="G786">
        <v>98000</v>
      </c>
      <c r="H786" s="1">
        <v>44411</v>
      </c>
      <c r="I786">
        <v>2021</v>
      </c>
      <c r="J786" t="s">
        <v>153</v>
      </c>
      <c r="K786">
        <v>8</v>
      </c>
      <c r="L786" t="s">
        <v>21</v>
      </c>
      <c r="M786" t="s">
        <v>22</v>
      </c>
      <c r="N786" t="s">
        <v>31</v>
      </c>
    </row>
    <row r="787" spans="1:14" x14ac:dyDescent="0.3">
      <c r="A787" t="s">
        <v>58</v>
      </c>
      <c r="B787" t="s">
        <v>15</v>
      </c>
      <c r="C787" t="s">
        <v>53</v>
      </c>
      <c r="D787" t="s">
        <v>34</v>
      </c>
      <c r="E787" t="s">
        <v>28</v>
      </c>
      <c r="F787" t="s">
        <v>92</v>
      </c>
      <c r="G787">
        <v>28306000</v>
      </c>
      <c r="H787" s="1">
        <v>44707</v>
      </c>
      <c r="I787">
        <v>2022</v>
      </c>
      <c r="J787" t="s">
        <v>77</v>
      </c>
      <c r="K787">
        <v>5</v>
      </c>
      <c r="L787" t="s">
        <v>65</v>
      </c>
      <c r="M787" t="s">
        <v>39</v>
      </c>
      <c r="N787" t="s">
        <v>23</v>
      </c>
    </row>
    <row r="788" spans="1:14" x14ac:dyDescent="0.3">
      <c r="A788" t="s">
        <v>41</v>
      </c>
      <c r="B788" t="s">
        <v>86</v>
      </c>
      <c r="C788" t="s">
        <v>87</v>
      </c>
      <c r="D788" t="s">
        <v>27</v>
      </c>
      <c r="E788" t="s">
        <v>487</v>
      </c>
      <c r="F788" t="s">
        <v>92</v>
      </c>
      <c r="G788">
        <v>3755000</v>
      </c>
      <c r="H788" s="1">
        <v>44837</v>
      </c>
      <c r="I788">
        <v>2022</v>
      </c>
      <c r="J788" t="s">
        <v>89</v>
      </c>
      <c r="K788">
        <v>10</v>
      </c>
      <c r="L788" t="s">
        <v>65</v>
      </c>
      <c r="M788" t="s">
        <v>30</v>
      </c>
      <c r="N788" t="s">
        <v>47</v>
      </c>
    </row>
    <row r="789" spans="1:14" x14ac:dyDescent="0.3">
      <c r="A789" t="s">
        <v>394</v>
      </c>
      <c r="B789" t="s">
        <v>68</v>
      </c>
      <c r="C789" t="s">
        <v>69</v>
      </c>
      <c r="D789" t="s">
        <v>75</v>
      </c>
      <c r="E789" t="s">
        <v>121</v>
      </c>
      <c r="F789" t="s">
        <v>188</v>
      </c>
      <c r="G789">
        <v>219000</v>
      </c>
      <c r="H789" s="1">
        <v>45349</v>
      </c>
      <c r="I789">
        <v>2024</v>
      </c>
      <c r="J789" t="s">
        <v>108</v>
      </c>
      <c r="K789">
        <v>2</v>
      </c>
      <c r="L789" t="s">
        <v>38</v>
      </c>
      <c r="M789" t="s">
        <v>22</v>
      </c>
      <c r="N789" t="s">
        <v>31</v>
      </c>
    </row>
    <row r="790" spans="1:14" x14ac:dyDescent="0.3">
      <c r="A790" t="s">
        <v>412</v>
      </c>
      <c r="B790" t="s">
        <v>126</v>
      </c>
      <c r="C790" t="s">
        <v>265</v>
      </c>
      <c r="D790" t="s">
        <v>17</v>
      </c>
      <c r="E790" t="s">
        <v>613</v>
      </c>
      <c r="F790" t="s">
        <v>19</v>
      </c>
      <c r="G790">
        <v>275000</v>
      </c>
      <c r="H790" s="1">
        <v>44700</v>
      </c>
      <c r="I790">
        <v>2022</v>
      </c>
      <c r="J790" t="s">
        <v>77</v>
      </c>
      <c r="K790">
        <v>5</v>
      </c>
      <c r="L790" t="s">
        <v>21</v>
      </c>
      <c r="M790" t="s">
        <v>22</v>
      </c>
      <c r="N790" t="s">
        <v>40</v>
      </c>
    </row>
    <row r="791" spans="1:14" x14ac:dyDescent="0.3">
      <c r="A791" t="s">
        <v>178</v>
      </c>
      <c r="B791" t="s">
        <v>59</v>
      </c>
      <c r="C791" t="s">
        <v>60</v>
      </c>
      <c r="D791" t="s">
        <v>136</v>
      </c>
      <c r="E791" t="s">
        <v>454</v>
      </c>
      <c r="F791" t="s">
        <v>56</v>
      </c>
      <c r="G791">
        <v>886000</v>
      </c>
      <c r="H791" s="1">
        <v>45196</v>
      </c>
      <c r="I791">
        <v>2023</v>
      </c>
      <c r="J791" t="s">
        <v>46</v>
      </c>
      <c r="K791">
        <v>9</v>
      </c>
      <c r="L791" t="s">
        <v>38</v>
      </c>
      <c r="M791" t="s">
        <v>22</v>
      </c>
      <c r="N791" t="s">
        <v>31</v>
      </c>
    </row>
    <row r="792" spans="1:14" x14ac:dyDescent="0.3">
      <c r="A792" t="s">
        <v>137</v>
      </c>
      <c r="B792" t="s">
        <v>42</v>
      </c>
      <c r="C792" t="s">
        <v>182</v>
      </c>
      <c r="D792" t="s">
        <v>17</v>
      </c>
      <c r="E792" t="s">
        <v>116</v>
      </c>
      <c r="F792" t="s">
        <v>19</v>
      </c>
      <c r="G792">
        <v>88000</v>
      </c>
      <c r="H792" s="1">
        <v>44849</v>
      </c>
      <c r="I792">
        <v>2022</v>
      </c>
      <c r="J792" t="s">
        <v>89</v>
      </c>
      <c r="K792">
        <v>10</v>
      </c>
      <c r="L792" t="s">
        <v>21</v>
      </c>
      <c r="M792" t="s">
        <v>22</v>
      </c>
      <c r="N792" t="s">
        <v>47</v>
      </c>
    </row>
    <row r="793" spans="1:14" x14ac:dyDescent="0.3">
      <c r="A793" t="s">
        <v>614</v>
      </c>
      <c r="B793" t="s">
        <v>25</v>
      </c>
      <c r="C793" t="s">
        <v>171</v>
      </c>
      <c r="D793" t="s">
        <v>17</v>
      </c>
      <c r="E793" t="s">
        <v>97</v>
      </c>
      <c r="F793" t="s">
        <v>103</v>
      </c>
      <c r="G793">
        <v>4892000</v>
      </c>
      <c r="H793" s="1">
        <v>43885</v>
      </c>
      <c r="I793">
        <v>2020</v>
      </c>
      <c r="J793" t="s">
        <v>108</v>
      </c>
      <c r="K793">
        <v>2</v>
      </c>
      <c r="L793" t="s">
        <v>38</v>
      </c>
      <c r="M793" t="s">
        <v>30</v>
      </c>
      <c r="N793" t="s">
        <v>31</v>
      </c>
    </row>
    <row r="794" spans="1:14" x14ac:dyDescent="0.3">
      <c r="A794" t="s">
        <v>267</v>
      </c>
      <c r="B794" t="s">
        <v>126</v>
      </c>
      <c r="C794" t="s">
        <v>127</v>
      </c>
      <c r="D794" t="s">
        <v>17</v>
      </c>
      <c r="E794" t="s">
        <v>615</v>
      </c>
      <c r="F794" t="s">
        <v>132</v>
      </c>
      <c r="G794">
        <v>78705000</v>
      </c>
      <c r="H794" s="1">
        <v>45184</v>
      </c>
      <c r="I794">
        <v>2023</v>
      </c>
      <c r="J794" t="s">
        <v>46</v>
      </c>
      <c r="K794">
        <v>9</v>
      </c>
      <c r="L794" t="s">
        <v>65</v>
      </c>
      <c r="M794" t="s">
        <v>39</v>
      </c>
      <c r="N794" t="s">
        <v>40</v>
      </c>
    </row>
    <row r="795" spans="1:14" x14ac:dyDescent="0.3">
      <c r="A795" t="s">
        <v>342</v>
      </c>
      <c r="B795" t="s">
        <v>42</v>
      </c>
      <c r="C795" t="s">
        <v>43</v>
      </c>
      <c r="D795" t="s">
        <v>111</v>
      </c>
      <c r="E795" t="s">
        <v>456</v>
      </c>
      <c r="F795" t="s">
        <v>19</v>
      </c>
      <c r="G795">
        <v>477000</v>
      </c>
      <c r="H795" s="1">
        <v>44534</v>
      </c>
      <c r="I795">
        <v>2021</v>
      </c>
      <c r="J795" t="s">
        <v>99</v>
      </c>
      <c r="K795">
        <v>12</v>
      </c>
      <c r="L795" t="s">
        <v>21</v>
      </c>
      <c r="M795" t="s">
        <v>22</v>
      </c>
      <c r="N795" t="s">
        <v>47</v>
      </c>
    </row>
    <row r="796" spans="1:14" x14ac:dyDescent="0.3">
      <c r="A796" t="s">
        <v>393</v>
      </c>
      <c r="B796" t="s">
        <v>186</v>
      </c>
      <c r="C796" t="s">
        <v>60</v>
      </c>
      <c r="D796" t="s">
        <v>70</v>
      </c>
      <c r="E796" t="s">
        <v>557</v>
      </c>
      <c r="F796" t="s">
        <v>19</v>
      </c>
      <c r="G796">
        <v>53000</v>
      </c>
      <c r="H796" s="1">
        <v>44601</v>
      </c>
      <c r="I796">
        <v>2022</v>
      </c>
      <c r="J796" t="s">
        <v>108</v>
      </c>
      <c r="K796">
        <v>2</v>
      </c>
      <c r="L796" t="s">
        <v>21</v>
      </c>
      <c r="M796" t="s">
        <v>22</v>
      </c>
      <c r="N796" t="s">
        <v>31</v>
      </c>
    </row>
    <row r="797" spans="1:14" x14ac:dyDescent="0.3">
      <c r="A797" t="s">
        <v>269</v>
      </c>
      <c r="B797" t="s">
        <v>25</v>
      </c>
      <c r="C797" t="s">
        <v>171</v>
      </c>
      <c r="D797" t="s">
        <v>70</v>
      </c>
      <c r="E797" t="s">
        <v>616</v>
      </c>
      <c r="F797" t="s">
        <v>103</v>
      </c>
      <c r="G797">
        <v>10610000</v>
      </c>
      <c r="H797" s="1">
        <v>44470</v>
      </c>
      <c r="I797">
        <v>2021</v>
      </c>
      <c r="J797" t="s">
        <v>89</v>
      </c>
      <c r="K797">
        <v>10</v>
      </c>
      <c r="L797" t="s">
        <v>38</v>
      </c>
      <c r="M797" t="s">
        <v>39</v>
      </c>
      <c r="N797" t="s">
        <v>31</v>
      </c>
    </row>
    <row r="798" spans="1:14" x14ac:dyDescent="0.3">
      <c r="A798" t="s">
        <v>272</v>
      </c>
      <c r="B798" t="s">
        <v>49</v>
      </c>
      <c r="C798" t="s">
        <v>50</v>
      </c>
      <c r="D798" t="s">
        <v>75</v>
      </c>
      <c r="E798" t="s">
        <v>91</v>
      </c>
      <c r="F798" t="s">
        <v>103</v>
      </c>
      <c r="G798">
        <v>12481000</v>
      </c>
      <c r="H798" s="1">
        <v>44982</v>
      </c>
      <c r="I798">
        <v>2023</v>
      </c>
      <c r="J798" t="s">
        <v>108</v>
      </c>
      <c r="K798">
        <v>2</v>
      </c>
      <c r="L798" t="s">
        <v>38</v>
      </c>
      <c r="M798" t="s">
        <v>39</v>
      </c>
      <c r="N798" t="s">
        <v>40</v>
      </c>
    </row>
    <row r="799" spans="1:14" x14ac:dyDescent="0.3">
      <c r="A799" t="s">
        <v>351</v>
      </c>
      <c r="B799" t="s">
        <v>126</v>
      </c>
      <c r="C799" t="s">
        <v>265</v>
      </c>
      <c r="D799" t="s">
        <v>75</v>
      </c>
      <c r="E799" t="s">
        <v>301</v>
      </c>
      <c r="F799" t="s">
        <v>36</v>
      </c>
      <c r="G799">
        <v>23958000</v>
      </c>
      <c r="H799" s="1">
        <v>45400</v>
      </c>
      <c r="I799">
        <v>2024</v>
      </c>
      <c r="J799" t="s">
        <v>20</v>
      </c>
      <c r="K799">
        <v>4</v>
      </c>
      <c r="L799" t="s">
        <v>38</v>
      </c>
      <c r="M799" t="s">
        <v>39</v>
      </c>
      <c r="N799" t="s">
        <v>40</v>
      </c>
    </row>
    <row r="800" spans="1:14" x14ac:dyDescent="0.3">
      <c r="A800" t="s">
        <v>481</v>
      </c>
      <c r="B800" t="s">
        <v>126</v>
      </c>
      <c r="C800" t="s">
        <v>159</v>
      </c>
      <c r="D800" t="s">
        <v>54</v>
      </c>
      <c r="E800" t="s">
        <v>617</v>
      </c>
      <c r="F800" t="s">
        <v>175</v>
      </c>
      <c r="G800">
        <v>248669000</v>
      </c>
      <c r="H800" s="1">
        <v>44545</v>
      </c>
      <c r="I800">
        <v>2021</v>
      </c>
      <c r="J800" t="s">
        <v>99</v>
      </c>
      <c r="K800">
        <v>12</v>
      </c>
      <c r="L800" t="s">
        <v>65</v>
      </c>
      <c r="M800" t="s">
        <v>66</v>
      </c>
      <c r="N800" t="s">
        <v>40</v>
      </c>
    </row>
    <row r="801" spans="1:14" x14ac:dyDescent="0.3">
      <c r="A801" t="s">
        <v>214</v>
      </c>
      <c r="B801" t="s">
        <v>86</v>
      </c>
      <c r="C801" t="s">
        <v>228</v>
      </c>
      <c r="D801" t="s">
        <v>136</v>
      </c>
      <c r="E801" t="s">
        <v>217</v>
      </c>
      <c r="F801" t="s">
        <v>56</v>
      </c>
      <c r="G801">
        <v>837000</v>
      </c>
      <c r="H801" s="1">
        <v>45185</v>
      </c>
      <c r="I801">
        <v>2023</v>
      </c>
      <c r="J801" t="s">
        <v>46</v>
      </c>
      <c r="K801">
        <v>9</v>
      </c>
      <c r="L801" t="s">
        <v>38</v>
      </c>
      <c r="M801" t="s">
        <v>22</v>
      </c>
      <c r="N801" t="s">
        <v>47</v>
      </c>
    </row>
    <row r="802" spans="1:14" x14ac:dyDescent="0.3">
      <c r="A802" t="s">
        <v>237</v>
      </c>
      <c r="B802" t="s">
        <v>25</v>
      </c>
      <c r="C802" t="s">
        <v>171</v>
      </c>
      <c r="D802" t="s">
        <v>34</v>
      </c>
      <c r="E802" t="s">
        <v>91</v>
      </c>
      <c r="F802" t="s">
        <v>19</v>
      </c>
      <c r="G802">
        <v>679000</v>
      </c>
      <c r="H802" s="1">
        <v>44178</v>
      </c>
      <c r="I802">
        <v>2020</v>
      </c>
      <c r="J802" t="s">
        <v>99</v>
      </c>
      <c r="K802">
        <v>12</v>
      </c>
      <c r="L802" t="s">
        <v>21</v>
      </c>
      <c r="M802" t="s">
        <v>22</v>
      </c>
      <c r="N802" t="s">
        <v>31</v>
      </c>
    </row>
    <row r="803" spans="1:14" x14ac:dyDescent="0.3">
      <c r="A803" t="s">
        <v>313</v>
      </c>
      <c r="B803" t="s">
        <v>114</v>
      </c>
      <c r="C803" t="s">
        <v>115</v>
      </c>
      <c r="D803" t="s">
        <v>75</v>
      </c>
      <c r="E803" t="s">
        <v>157</v>
      </c>
      <c r="F803" t="s">
        <v>103</v>
      </c>
      <c r="G803">
        <v>1511000</v>
      </c>
      <c r="H803" s="1">
        <v>44693</v>
      </c>
      <c r="I803">
        <v>2022</v>
      </c>
      <c r="J803" t="s">
        <v>77</v>
      </c>
      <c r="K803">
        <v>5</v>
      </c>
      <c r="L803" t="s">
        <v>38</v>
      </c>
      <c r="M803" t="s">
        <v>30</v>
      </c>
      <c r="N803" t="s">
        <v>47</v>
      </c>
    </row>
    <row r="804" spans="1:14" x14ac:dyDescent="0.3">
      <c r="A804" t="s">
        <v>352</v>
      </c>
      <c r="B804" t="s">
        <v>86</v>
      </c>
      <c r="C804" t="s">
        <v>339</v>
      </c>
      <c r="D804" t="s">
        <v>75</v>
      </c>
      <c r="E804" t="s">
        <v>242</v>
      </c>
      <c r="F804" t="s">
        <v>56</v>
      </c>
      <c r="G804">
        <v>377000</v>
      </c>
      <c r="H804" s="1">
        <v>45003</v>
      </c>
      <c r="I804">
        <v>2023</v>
      </c>
      <c r="J804" t="s">
        <v>37</v>
      </c>
      <c r="K804">
        <v>3</v>
      </c>
      <c r="L804" t="s">
        <v>38</v>
      </c>
      <c r="M804" t="s">
        <v>22</v>
      </c>
      <c r="N804" t="s">
        <v>47</v>
      </c>
    </row>
    <row r="805" spans="1:14" x14ac:dyDescent="0.3">
      <c r="A805" t="s">
        <v>216</v>
      </c>
      <c r="B805" t="s">
        <v>25</v>
      </c>
      <c r="C805" t="s">
        <v>26</v>
      </c>
      <c r="D805" t="s">
        <v>44</v>
      </c>
      <c r="E805" t="s">
        <v>618</v>
      </c>
      <c r="F805" t="s">
        <v>19</v>
      </c>
      <c r="G805">
        <v>469000</v>
      </c>
      <c r="H805" s="1">
        <v>44860</v>
      </c>
      <c r="I805">
        <v>2022</v>
      </c>
      <c r="J805" t="s">
        <v>89</v>
      </c>
      <c r="K805">
        <v>10</v>
      </c>
      <c r="L805" t="s">
        <v>21</v>
      </c>
      <c r="M805" t="s">
        <v>22</v>
      </c>
      <c r="N805" t="s">
        <v>31</v>
      </c>
    </row>
    <row r="806" spans="1:14" x14ac:dyDescent="0.3">
      <c r="A806" t="s">
        <v>455</v>
      </c>
      <c r="B806" t="s">
        <v>49</v>
      </c>
      <c r="C806" t="s">
        <v>135</v>
      </c>
      <c r="D806" t="s">
        <v>111</v>
      </c>
      <c r="E806" t="s">
        <v>200</v>
      </c>
      <c r="F806" t="s">
        <v>19</v>
      </c>
      <c r="G806">
        <v>239000</v>
      </c>
      <c r="H806" s="1">
        <v>44374</v>
      </c>
      <c r="I806">
        <v>2021</v>
      </c>
      <c r="J806" t="s">
        <v>141</v>
      </c>
      <c r="K806">
        <v>6</v>
      </c>
      <c r="L806" t="s">
        <v>21</v>
      </c>
      <c r="M806" t="s">
        <v>22</v>
      </c>
      <c r="N806" t="s">
        <v>40</v>
      </c>
    </row>
    <row r="807" spans="1:14" x14ac:dyDescent="0.3">
      <c r="A807" t="s">
        <v>230</v>
      </c>
      <c r="B807" t="s">
        <v>126</v>
      </c>
      <c r="C807" t="s">
        <v>127</v>
      </c>
      <c r="D807" t="s">
        <v>17</v>
      </c>
      <c r="E807" t="s">
        <v>258</v>
      </c>
      <c r="F807" t="s">
        <v>36</v>
      </c>
      <c r="G807">
        <v>38525000</v>
      </c>
      <c r="H807" s="1">
        <v>45015</v>
      </c>
      <c r="I807">
        <v>2023</v>
      </c>
      <c r="J807" t="s">
        <v>37</v>
      </c>
      <c r="K807">
        <v>3</v>
      </c>
      <c r="L807" t="s">
        <v>38</v>
      </c>
      <c r="M807" t="s">
        <v>39</v>
      </c>
      <c r="N807" t="s">
        <v>40</v>
      </c>
    </row>
    <row r="808" spans="1:14" x14ac:dyDescent="0.3">
      <c r="A808" t="s">
        <v>619</v>
      </c>
      <c r="B808" t="s">
        <v>59</v>
      </c>
      <c r="C808" t="s">
        <v>60</v>
      </c>
      <c r="D808" t="s">
        <v>70</v>
      </c>
      <c r="E808" t="s">
        <v>116</v>
      </c>
      <c r="F808" t="s">
        <v>56</v>
      </c>
      <c r="G808">
        <v>860000</v>
      </c>
      <c r="H808" s="1">
        <v>44542</v>
      </c>
      <c r="I808">
        <v>2021</v>
      </c>
      <c r="J808" t="s">
        <v>99</v>
      </c>
      <c r="K808">
        <v>12</v>
      </c>
      <c r="L808" t="s">
        <v>38</v>
      </c>
      <c r="M808" t="s">
        <v>22</v>
      </c>
      <c r="N808" t="s">
        <v>31</v>
      </c>
    </row>
    <row r="809" spans="1:14" x14ac:dyDescent="0.3">
      <c r="A809" t="s">
        <v>269</v>
      </c>
      <c r="B809" t="s">
        <v>32</v>
      </c>
      <c r="C809" t="s">
        <v>138</v>
      </c>
      <c r="D809" t="s">
        <v>136</v>
      </c>
      <c r="E809" t="s">
        <v>270</v>
      </c>
      <c r="F809" t="s">
        <v>36</v>
      </c>
      <c r="G809">
        <v>65083000</v>
      </c>
      <c r="H809" s="1">
        <v>44472</v>
      </c>
      <c r="I809">
        <v>2021</v>
      </c>
      <c r="J809" t="s">
        <v>89</v>
      </c>
      <c r="K809">
        <v>10</v>
      </c>
      <c r="L809" t="s">
        <v>38</v>
      </c>
      <c r="M809" t="s">
        <v>39</v>
      </c>
      <c r="N809" t="s">
        <v>40</v>
      </c>
    </row>
    <row r="810" spans="1:14" x14ac:dyDescent="0.3">
      <c r="A810" t="s">
        <v>275</v>
      </c>
      <c r="B810" t="s">
        <v>42</v>
      </c>
      <c r="C810" t="s">
        <v>205</v>
      </c>
      <c r="D810" t="s">
        <v>111</v>
      </c>
      <c r="E810" t="s">
        <v>620</v>
      </c>
      <c r="F810" t="s">
        <v>19</v>
      </c>
      <c r="G810">
        <v>264000</v>
      </c>
      <c r="H810" s="1">
        <v>43869</v>
      </c>
      <c r="I810">
        <v>2020</v>
      </c>
      <c r="J810" t="s">
        <v>108</v>
      </c>
      <c r="K810">
        <v>2</v>
      </c>
      <c r="L810" t="s">
        <v>21</v>
      </c>
      <c r="M810" t="s">
        <v>22</v>
      </c>
      <c r="N810" t="s">
        <v>47</v>
      </c>
    </row>
    <row r="811" spans="1:14" x14ac:dyDescent="0.3">
      <c r="A811" t="s">
        <v>427</v>
      </c>
      <c r="B811" t="s">
        <v>49</v>
      </c>
      <c r="C811" t="s">
        <v>50</v>
      </c>
      <c r="D811" t="s">
        <v>70</v>
      </c>
      <c r="E811" t="s">
        <v>497</v>
      </c>
      <c r="F811" t="s">
        <v>19</v>
      </c>
      <c r="G811">
        <v>76000</v>
      </c>
      <c r="H811" s="1">
        <v>45137</v>
      </c>
      <c r="I811">
        <v>2023</v>
      </c>
      <c r="J811" t="s">
        <v>57</v>
      </c>
      <c r="K811">
        <v>7</v>
      </c>
      <c r="L811" t="s">
        <v>21</v>
      </c>
      <c r="M811" t="s">
        <v>22</v>
      </c>
      <c r="N811" t="s">
        <v>40</v>
      </c>
    </row>
    <row r="812" spans="1:14" x14ac:dyDescent="0.3">
      <c r="A812" t="s">
        <v>455</v>
      </c>
      <c r="B812" t="s">
        <v>25</v>
      </c>
      <c r="C812" t="s">
        <v>26</v>
      </c>
      <c r="D812" t="s">
        <v>27</v>
      </c>
      <c r="E812" t="s">
        <v>231</v>
      </c>
      <c r="F812" t="s">
        <v>103</v>
      </c>
      <c r="G812">
        <v>14397000</v>
      </c>
      <c r="H812" s="1">
        <v>44577</v>
      </c>
      <c r="I812">
        <v>2022</v>
      </c>
      <c r="J812" t="s">
        <v>29</v>
      </c>
      <c r="K812">
        <v>1</v>
      </c>
      <c r="L812" t="s">
        <v>38</v>
      </c>
      <c r="M812" t="s">
        <v>39</v>
      </c>
      <c r="N812" t="s">
        <v>31</v>
      </c>
    </row>
    <row r="813" spans="1:14" x14ac:dyDescent="0.3">
      <c r="A813" t="s">
        <v>249</v>
      </c>
      <c r="B813" t="s">
        <v>114</v>
      </c>
      <c r="C813" t="s">
        <v>115</v>
      </c>
      <c r="D813" t="s">
        <v>136</v>
      </c>
      <c r="E813" t="s">
        <v>116</v>
      </c>
      <c r="F813" t="s">
        <v>19</v>
      </c>
      <c r="G813">
        <v>1104000</v>
      </c>
      <c r="H813" s="1">
        <v>45531</v>
      </c>
      <c r="I813">
        <v>2024</v>
      </c>
      <c r="J813" t="s">
        <v>153</v>
      </c>
      <c r="K813">
        <v>8</v>
      </c>
      <c r="L813" t="s">
        <v>21</v>
      </c>
      <c r="M813" t="s">
        <v>30</v>
      </c>
      <c r="N813" t="s">
        <v>47</v>
      </c>
    </row>
    <row r="814" spans="1:14" x14ac:dyDescent="0.3">
      <c r="A814" t="s">
        <v>360</v>
      </c>
      <c r="B814" t="s">
        <v>94</v>
      </c>
      <c r="C814" t="s">
        <v>159</v>
      </c>
      <c r="D814" t="s">
        <v>54</v>
      </c>
      <c r="E814" t="s">
        <v>270</v>
      </c>
      <c r="F814" t="s">
        <v>19</v>
      </c>
      <c r="G814">
        <v>79000</v>
      </c>
      <c r="H814" s="1">
        <v>45062</v>
      </c>
      <c r="I814">
        <v>2023</v>
      </c>
      <c r="J814" t="s">
        <v>77</v>
      </c>
      <c r="K814">
        <v>5</v>
      </c>
      <c r="L814" t="s">
        <v>21</v>
      </c>
      <c r="M814" t="s">
        <v>22</v>
      </c>
      <c r="N814" t="s">
        <v>40</v>
      </c>
    </row>
    <row r="815" spans="1:14" x14ac:dyDescent="0.3">
      <c r="A815" t="s">
        <v>191</v>
      </c>
      <c r="B815" t="s">
        <v>105</v>
      </c>
      <c r="C815" t="s">
        <v>345</v>
      </c>
      <c r="D815" t="s">
        <v>27</v>
      </c>
      <c r="E815" t="s">
        <v>226</v>
      </c>
      <c r="F815" t="s">
        <v>19</v>
      </c>
      <c r="G815">
        <v>1494000</v>
      </c>
      <c r="H815" s="1">
        <v>45525</v>
      </c>
      <c r="I815">
        <v>2024</v>
      </c>
      <c r="J815" t="s">
        <v>153</v>
      </c>
      <c r="K815">
        <v>8</v>
      </c>
      <c r="L815" t="s">
        <v>21</v>
      </c>
      <c r="M815" t="s">
        <v>30</v>
      </c>
      <c r="N815" t="s">
        <v>23</v>
      </c>
    </row>
    <row r="816" spans="1:14" x14ac:dyDescent="0.3">
      <c r="A816" t="s">
        <v>455</v>
      </c>
      <c r="B816" t="s">
        <v>81</v>
      </c>
      <c r="C816" t="s">
        <v>130</v>
      </c>
      <c r="D816" t="s">
        <v>54</v>
      </c>
      <c r="E816" t="s">
        <v>51</v>
      </c>
      <c r="F816" t="s">
        <v>19</v>
      </c>
      <c r="G816">
        <v>1238000</v>
      </c>
      <c r="H816" s="1">
        <v>43890</v>
      </c>
      <c r="I816">
        <v>2020</v>
      </c>
      <c r="J816" t="s">
        <v>108</v>
      </c>
      <c r="K816">
        <v>2</v>
      </c>
      <c r="L816" t="s">
        <v>21</v>
      </c>
      <c r="M816" t="s">
        <v>30</v>
      </c>
      <c r="N816" t="s">
        <v>84</v>
      </c>
    </row>
    <row r="817" spans="1:14" x14ac:dyDescent="0.3">
      <c r="A817" t="s">
        <v>137</v>
      </c>
      <c r="B817" t="s">
        <v>105</v>
      </c>
      <c r="C817" t="s">
        <v>162</v>
      </c>
      <c r="D817" t="s">
        <v>70</v>
      </c>
      <c r="E817" t="s">
        <v>301</v>
      </c>
      <c r="F817" t="s">
        <v>132</v>
      </c>
      <c r="G817">
        <v>81514000</v>
      </c>
      <c r="H817" s="1">
        <v>43944</v>
      </c>
      <c r="I817">
        <v>2020</v>
      </c>
      <c r="J817" t="s">
        <v>20</v>
      </c>
      <c r="K817">
        <v>4</v>
      </c>
      <c r="L817" t="s">
        <v>65</v>
      </c>
      <c r="M817" t="s">
        <v>39</v>
      </c>
      <c r="N817" t="s">
        <v>23</v>
      </c>
    </row>
    <row r="818" spans="1:14" x14ac:dyDescent="0.3">
      <c r="A818" t="s">
        <v>249</v>
      </c>
      <c r="B818" t="s">
        <v>114</v>
      </c>
      <c r="C818" t="s">
        <v>156</v>
      </c>
      <c r="D818" t="s">
        <v>136</v>
      </c>
      <c r="E818" t="s">
        <v>621</v>
      </c>
      <c r="F818" t="s">
        <v>128</v>
      </c>
      <c r="G818">
        <v>29000</v>
      </c>
      <c r="H818" s="1">
        <v>45206</v>
      </c>
      <c r="I818">
        <v>2023</v>
      </c>
      <c r="J818" t="s">
        <v>89</v>
      </c>
      <c r="K818">
        <v>10</v>
      </c>
      <c r="L818" t="s">
        <v>21</v>
      </c>
      <c r="M818" t="s">
        <v>22</v>
      </c>
      <c r="N818" t="s">
        <v>47</v>
      </c>
    </row>
    <row r="819" spans="1:14" x14ac:dyDescent="0.3">
      <c r="A819" t="s">
        <v>316</v>
      </c>
      <c r="B819" t="s">
        <v>126</v>
      </c>
      <c r="C819" t="s">
        <v>127</v>
      </c>
      <c r="D819" t="s">
        <v>111</v>
      </c>
      <c r="E819" t="s">
        <v>363</v>
      </c>
      <c r="F819" t="s">
        <v>128</v>
      </c>
      <c r="G819">
        <v>17000</v>
      </c>
      <c r="H819" s="1">
        <v>44899</v>
      </c>
      <c r="I819">
        <v>2022</v>
      </c>
      <c r="J819" t="s">
        <v>99</v>
      </c>
      <c r="K819">
        <v>12</v>
      </c>
      <c r="L819" t="s">
        <v>21</v>
      </c>
      <c r="M819" t="s">
        <v>22</v>
      </c>
      <c r="N819" t="s">
        <v>40</v>
      </c>
    </row>
    <row r="820" spans="1:14" x14ac:dyDescent="0.3">
      <c r="A820" t="s">
        <v>275</v>
      </c>
      <c r="B820" t="s">
        <v>186</v>
      </c>
      <c r="C820" t="s">
        <v>127</v>
      </c>
      <c r="D820" t="s">
        <v>75</v>
      </c>
      <c r="E820" t="s">
        <v>301</v>
      </c>
      <c r="F820" t="s">
        <v>19</v>
      </c>
      <c r="G820">
        <v>61000</v>
      </c>
      <c r="H820" s="1">
        <v>45483</v>
      </c>
      <c r="I820">
        <v>2024</v>
      </c>
      <c r="J820" t="s">
        <v>57</v>
      </c>
      <c r="K820">
        <v>7</v>
      </c>
      <c r="L820" t="s">
        <v>21</v>
      </c>
      <c r="M820" t="s">
        <v>22</v>
      </c>
      <c r="N820" t="s">
        <v>31</v>
      </c>
    </row>
    <row r="821" spans="1:14" x14ac:dyDescent="0.3">
      <c r="A821" t="s">
        <v>395</v>
      </c>
      <c r="B821" t="s">
        <v>25</v>
      </c>
      <c r="C821" t="s">
        <v>171</v>
      </c>
      <c r="D821" t="s">
        <v>136</v>
      </c>
      <c r="E821" t="s">
        <v>18</v>
      </c>
      <c r="F821" t="s">
        <v>19</v>
      </c>
      <c r="G821">
        <v>172000</v>
      </c>
      <c r="H821" s="1">
        <v>44049</v>
      </c>
      <c r="I821">
        <v>2020</v>
      </c>
      <c r="J821" t="s">
        <v>153</v>
      </c>
      <c r="K821">
        <v>8</v>
      </c>
      <c r="L821" t="s">
        <v>21</v>
      </c>
      <c r="M821" t="s">
        <v>22</v>
      </c>
      <c r="N821" t="s">
        <v>31</v>
      </c>
    </row>
    <row r="822" spans="1:14" x14ac:dyDescent="0.3">
      <c r="A822" t="s">
        <v>201</v>
      </c>
      <c r="B822" t="s">
        <v>94</v>
      </c>
      <c r="C822" t="s">
        <v>146</v>
      </c>
      <c r="D822" t="s">
        <v>27</v>
      </c>
      <c r="E822" t="s">
        <v>622</v>
      </c>
      <c r="F822" t="s">
        <v>103</v>
      </c>
      <c r="G822">
        <v>8795000</v>
      </c>
      <c r="H822" s="1">
        <v>44598</v>
      </c>
      <c r="I822">
        <v>2022</v>
      </c>
      <c r="J822" t="s">
        <v>108</v>
      </c>
      <c r="K822">
        <v>2</v>
      </c>
      <c r="L822" t="s">
        <v>38</v>
      </c>
      <c r="M822" t="s">
        <v>30</v>
      </c>
      <c r="N822" t="s">
        <v>40</v>
      </c>
    </row>
    <row r="823" spans="1:14" x14ac:dyDescent="0.3">
      <c r="A823" t="s">
        <v>80</v>
      </c>
      <c r="B823" t="s">
        <v>59</v>
      </c>
      <c r="C823" t="s">
        <v>123</v>
      </c>
      <c r="D823" t="s">
        <v>96</v>
      </c>
      <c r="E823" t="s">
        <v>157</v>
      </c>
      <c r="F823" t="s">
        <v>103</v>
      </c>
      <c r="G823">
        <v>1013000</v>
      </c>
      <c r="H823" s="1">
        <v>44584</v>
      </c>
      <c r="I823">
        <v>2022</v>
      </c>
      <c r="J823" t="s">
        <v>29</v>
      </c>
      <c r="K823">
        <v>1</v>
      </c>
      <c r="L823" t="s">
        <v>38</v>
      </c>
      <c r="M823" t="s">
        <v>30</v>
      </c>
      <c r="N823" t="s">
        <v>31</v>
      </c>
    </row>
    <row r="824" spans="1:14" x14ac:dyDescent="0.3">
      <c r="A824" t="s">
        <v>393</v>
      </c>
      <c r="B824" t="s">
        <v>49</v>
      </c>
      <c r="C824" t="s">
        <v>135</v>
      </c>
      <c r="D824" t="s">
        <v>44</v>
      </c>
      <c r="E824" t="s">
        <v>116</v>
      </c>
      <c r="F824" t="s">
        <v>19</v>
      </c>
      <c r="G824">
        <v>171000</v>
      </c>
      <c r="H824" s="1">
        <v>44618</v>
      </c>
      <c r="I824">
        <v>2022</v>
      </c>
      <c r="J824" t="s">
        <v>108</v>
      </c>
      <c r="K824">
        <v>2</v>
      </c>
      <c r="L824" t="s">
        <v>21</v>
      </c>
      <c r="M824" t="s">
        <v>22</v>
      </c>
      <c r="N824" t="s">
        <v>40</v>
      </c>
    </row>
    <row r="825" spans="1:14" x14ac:dyDescent="0.3">
      <c r="A825" t="s">
        <v>326</v>
      </c>
      <c r="B825" t="s">
        <v>59</v>
      </c>
      <c r="C825" t="s">
        <v>60</v>
      </c>
      <c r="D825" t="s">
        <v>17</v>
      </c>
      <c r="E825" t="s">
        <v>623</v>
      </c>
      <c r="F825" t="s">
        <v>103</v>
      </c>
      <c r="G825">
        <v>2940000</v>
      </c>
      <c r="H825" s="1">
        <v>44315</v>
      </c>
      <c r="I825">
        <v>2021</v>
      </c>
      <c r="J825" t="s">
        <v>20</v>
      </c>
      <c r="K825">
        <v>4</v>
      </c>
      <c r="L825" t="s">
        <v>38</v>
      </c>
      <c r="M825" t="s">
        <v>30</v>
      </c>
      <c r="N825" t="s">
        <v>31</v>
      </c>
    </row>
    <row r="826" spans="1:14" x14ac:dyDescent="0.3">
      <c r="A826" t="s">
        <v>351</v>
      </c>
      <c r="B826" t="s">
        <v>94</v>
      </c>
      <c r="C826" t="s">
        <v>159</v>
      </c>
      <c r="D826" t="s">
        <v>17</v>
      </c>
      <c r="E826" t="s">
        <v>200</v>
      </c>
      <c r="F826" t="s">
        <v>128</v>
      </c>
      <c r="G826">
        <v>25000</v>
      </c>
      <c r="H826" s="1">
        <v>45380</v>
      </c>
      <c r="I826">
        <v>2024</v>
      </c>
      <c r="J826" t="s">
        <v>37</v>
      </c>
      <c r="K826">
        <v>3</v>
      </c>
      <c r="L826" t="s">
        <v>21</v>
      </c>
      <c r="M826" t="s">
        <v>22</v>
      </c>
      <c r="N826" t="s">
        <v>40</v>
      </c>
    </row>
    <row r="827" spans="1:14" x14ac:dyDescent="0.3">
      <c r="A827" t="s">
        <v>318</v>
      </c>
      <c r="B827" t="s">
        <v>42</v>
      </c>
      <c r="C827" t="s">
        <v>205</v>
      </c>
      <c r="D827" t="s">
        <v>96</v>
      </c>
      <c r="E827" t="s">
        <v>624</v>
      </c>
      <c r="F827" t="s">
        <v>64</v>
      </c>
      <c r="G827">
        <v>566555000</v>
      </c>
      <c r="H827" s="1">
        <v>45401</v>
      </c>
      <c r="I827">
        <v>2024</v>
      </c>
      <c r="J827" t="s">
        <v>20</v>
      </c>
      <c r="K827">
        <v>4</v>
      </c>
      <c r="L827" t="s">
        <v>65</v>
      </c>
      <c r="M827" t="s">
        <v>66</v>
      </c>
      <c r="N827" t="s">
        <v>47</v>
      </c>
    </row>
    <row r="828" spans="1:14" x14ac:dyDescent="0.3">
      <c r="A828" t="s">
        <v>272</v>
      </c>
      <c r="B828" t="s">
        <v>68</v>
      </c>
      <c r="C828" t="s">
        <v>69</v>
      </c>
      <c r="D828" t="s">
        <v>136</v>
      </c>
      <c r="E828" t="s">
        <v>242</v>
      </c>
      <c r="F828" t="s">
        <v>64</v>
      </c>
      <c r="G828">
        <v>124717000</v>
      </c>
      <c r="H828" s="1">
        <v>45510</v>
      </c>
      <c r="I828">
        <v>2024</v>
      </c>
      <c r="J828" t="s">
        <v>153</v>
      </c>
      <c r="K828">
        <v>8</v>
      </c>
      <c r="L828" t="s">
        <v>65</v>
      </c>
      <c r="M828" t="s">
        <v>66</v>
      </c>
      <c r="N828" t="s">
        <v>31</v>
      </c>
    </row>
    <row r="829" spans="1:14" x14ac:dyDescent="0.3">
      <c r="A829" t="s">
        <v>139</v>
      </c>
      <c r="B829" t="s">
        <v>32</v>
      </c>
      <c r="C829" t="s">
        <v>33</v>
      </c>
      <c r="D829" t="s">
        <v>96</v>
      </c>
      <c r="E829" t="s">
        <v>625</v>
      </c>
      <c r="F829" t="s">
        <v>56</v>
      </c>
      <c r="G829">
        <v>222000</v>
      </c>
      <c r="H829" s="1">
        <v>45324</v>
      </c>
      <c r="I829">
        <v>2024</v>
      </c>
      <c r="J829" t="s">
        <v>108</v>
      </c>
      <c r="K829">
        <v>2</v>
      </c>
      <c r="L829" t="s">
        <v>38</v>
      </c>
      <c r="M829" t="s">
        <v>22</v>
      </c>
      <c r="N829" t="s">
        <v>40</v>
      </c>
    </row>
    <row r="830" spans="1:14" x14ac:dyDescent="0.3">
      <c r="A830" t="s">
        <v>481</v>
      </c>
      <c r="B830" t="s">
        <v>59</v>
      </c>
      <c r="C830" t="s">
        <v>123</v>
      </c>
      <c r="D830" t="s">
        <v>54</v>
      </c>
      <c r="E830" t="s">
        <v>626</v>
      </c>
      <c r="F830" t="s">
        <v>36</v>
      </c>
      <c r="G830">
        <v>38638000</v>
      </c>
      <c r="H830" s="1">
        <v>45451</v>
      </c>
      <c r="I830">
        <v>2024</v>
      </c>
      <c r="J830" t="s">
        <v>141</v>
      </c>
      <c r="K830">
        <v>6</v>
      </c>
      <c r="L830" t="s">
        <v>38</v>
      </c>
      <c r="M830" t="s">
        <v>39</v>
      </c>
      <c r="N830" t="s">
        <v>31</v>
      </c>
    </row>
    <row r="831" spans="1:14" x14ac:dyDescent="0.3">
      <c r="A831" t="s">
        <v>142</v>
      </c>
      <c r="B831" t="s">
        <v>186</v>
      </c>
      <c r="C831" t="s">
        <v>127</v>
      </c>
      <c r="D831" t="s">
        <v>44</v>
      </c>
      <c r="E831" t="s">
        <v>627</v>
      </c>
      <c r="F831" t="s">
        <v>103</v>
      </c>
      <c r="G831">
        <v>3403000</v>
      </c>
      <c r="H831" s="1">
        <v>45816</v>
      </c>
      <c r="I831">
        <v>2025</v>
      </c>
      <c r="J831" t="s">
        <v>141</v>
      </c>
      <c r="K831">
        <v>6</v>
      </c>
      <c r="L831" t="s">
        <v>38</v>
      </c>
      <c r="M831" t="s">
        <v>30</v>
      </c>
      <c r="N831" t="s">
        <v>31</v>
      </c>
    </row>
    <row r="832" spans="1:14" x14ac:dyDescent="0.3">
      <c r="A832" t="s">
        <v>355</v>
      </c>
      <c r="B832" t="s">
        <v>114</v>
      </c>
      <c r="C832" t="s">
        <v>243</v>
      </c>
      <c r="D832" t="s">
        <v>54</v>
      </c>
      <c r="E832" t="s">
        <v>405</v>
      </c>
      <c r="F832" t="s">
        <v>19</v>
      </c>
      <c r="G832">
        <v>114000</v>
      </c>
      <c r="H832" s="1">
        <v>45238</v>
      </c>
      <c r="I832">
        <v>2023</v>
      </c>
      <c r="J832" t="s">
        <v>72</v>
      </c>
      <c r="K832">
        <v>11</v>
      </c>
      <c r="L832" t="s">
        <v>21</v>
      </c>
      <c r="M832" t="s">
        <v>22</v>
      </c>
      <c r="N832" t="s">
        <v>47</v>
      </c>
    </row>
    <row r="833" spans="1:14" x14ac:dyDescent="0.3">
      <c r="A833" t="s">
        <v>412</v>
      </c>
      <c r="B833" t="s">
        <v>86</v>
      </c>
      <c r="C833" t="s">
        <v>87</v>
      </c>
      <c r="D833" t="s">
        <v>136</v>
      </c>
      <c r="E833" t="s">
        <v>628</v>
      </c>
      <c r="F833" t="s">
        <v>64</v>
      </c>
      <c r="G833">
        <v>165015000</v>
      </c>
      <c r="H833" s="1">
        <v>45765</v>
      </c>
      <c r="I833">
        <v>2025</v>
      </c>
      <c r="J833" t="s">
        <v>20</v>
      </c>
      <c r="K833">
        <v>4</v>
      </c>
      <c r="L833" t="s">
        <v>65</v>
      </c>
      <c r="M833" t="s">
        <v>66</v>
      </c>
      <c r="N833" t="s">
        <v>47</v>
      </c>
    </row>
    <row r="834" spans="1:14" x14ac:dyDescent="0.3">
      <c r="A834" t="s">
        <v>134</v>
      </c>
      <c r="B834" t="s">
        <v>42</v>
      </c>
      <c r="C834" t="s">
        <v>182</v>
      </c>
      <c r="D834" t="s">
        <v>34</v>
      </c>
      <c r="E834" t="s">
        <v>270</v>
      </c>
      <c r="F834" t="s">
        <v>36</v>
      </c>
      <c r="G834">
        <v>7389000</v>
      </c>
      <c r="H834" s="1">
        <v>44176</v>
      </c>
      <c r="I834">
        <v>2020</v>
      </c>
      <c r="J834" t="s">
        <v>99</v>
      </c>
      <c r="K834">
        <v>12</v>
      </c>
      <c r="L834" t="s">
        <v>38</v>
      </c>
      <c r="M834" t="s">
        <v>30</v>
      </c>
      <c r="N834" t="s">
        <v>47</v>
      </c>
    </row>
    <row r="835" spans="1:14" x14ac:dyDescent="0.3">
      <c r="A835" t="s">
        <v>181</v>
      </c>
      <c r="B835" t="s">
        <v>105</v>
      </c>
      <c r="C835" t="s">
        <v>162</v>
      </c>
      <c r="D835" t="s">
        <v>96</v>
      </c>
      <c r="E835" t="s">
        <v>157</v>
      </c>
      <c r="F835" t="s">
        <v>19</v>
      </c>
      <c r="G835">
        <v>96000</v>
      </c>
      <c r="H835" s="1">
        <v>44992</v>
      </c>
      <c r="I835">
        <v>2023</v>
      </c>
      <c r="J835" t="s">
        <v>37</v>
      </c>
      <c r="K835">
        <v>3</v>
      </c>
      <c r="L835" t="s">
        <v>21</v>
      </c>
      <c r="M835" t="s">
        <v>22</v>
      </c>
      <c r="N835" t="s">
        <v>23</v>
      </c>
    </row>
    <row r="836" spans="1:14" x14ac:dyDescent="0.3">
      <c r="A836" t="s">
        <v>455</v>
      </c>
      <c r="B836" t="s">
        <v>42</v>
      </c>
      <c r="C836" t="s">
        <v>205</v>
      </c>
      <c r="D836" t="s">
        <v>70</v>
      </c>
      <c r="E836" t="s">
        <v>63</v>
      </c>
      <c r="F836" t="s">
        <v>19</v>
      </c>
      <c r="G836">
        <v>314000</v>
      </c>
      <c r="H836" s="1">
        <v>45292</v>
      </c>
      <c r="I836">
        <v>2024</v>
      </c>
      <c r="J836" t="s">
        <v>29</v>
      </c>
      <c r="K836">
        <v>1</v>
      </c>
      <c r="L836" t="s">
        <v>21</v>
      </c>
      <c r="M836" t="s">
        <v>22</v>
      </c>
      <c r="N836" t="s">
        <v>47</v>
      </c>
    </row>
    <row r="837" spans="1:14" x14ac:dyDescent="0.3">
      <c r="A837" t="s">
        <v>331</v>
      </c>
      <c r="B837" t="s">
        <v>42</v>
      </c>
      <c r="C837" t="s">
        <v>43</v>
      </c>
      <c r="D837" t="s">
        <v>54</v>
      </c>
      <c r="E837" t="s">
        <v>489</v>
      </c>
      <c r="F837" t="s">
        <v>103</v>
      </c>
      <c r="G837">
        <v>3110000</v>
      </c>
      <c r="H837" s="1">
        <v>44254</v>
      </c>
      <c r="I837">
        <v>2021</v>
      </c>
      <c r="J837" t="s">
        <v>108</v>
      </c>
      <c r="K837">
        <v>2</v>
      </c>
      <c r="L837" t="s">
        <v>38</v>
      </c>
      <c r="M837" t="s">
        <v>30</v>
      </c>
      <c r="N837" t="s">
        <v>47</v>
      </c>
    </row>
    <row r="838" spans="1:14" x14ac:dyDescent="0.3">
      <c r="A838" t="s">
        <v>304</v>
      </c>
      <c r="B838" t="s">
        <v>68</v>
      </c>
      <c r="C838" t="s">
        <v>324</v>
      </c>
      <c r="D838" t="s">
        <v>27</v>
      </c>
      <c r="E838" t="s">
        <v>116</v>
      </c>
      <c r="F838" t="s">
        <v>19</v>
      </c>
      <c r="G838">
        <v>1461000</v>
      </c>
      <c r="H838" s="1">
        <v>44367</v>
      </c>
      <c r="I838">
        <v>2021</v>
      </c>
      <c r="J838" t="s">
        <v>141</v>
      </c>
      <c r="K838">
        <v>6</v>
      </c>
      <c r="L838" t="s">
        <v>21</v>
      </c>
      <c r="M838" t="s">
        <v>30</v>
      </c>
      <c r="N838" t="s">
        <v>31</v>
      </c>
    </row>
    <row r="839" spans="1:14" x14ac:dyDescent="0.3">
      <c r="A839" t="s">
        <v>80</v>
      </c>
      <c r="B839" t="s">
        <v>49</v>
      </c>
      <c r="C839" t="s">
        <v>50</v>
      </c>
      <c r="D839" t="s">
        <v>70</v>
      </c>
      <c r="E839" t="s">
        <v>28</v>
      </c>
      <c r="F839" t="s">
        <v>19</v>
      </c>
      <c r="G839">
        <v>190000</v>
      </c>
      <c r="H839" s="1">
        <v>44791</v>
      </c>
      <c r="I839">
        <v>2022</v>
      </c>
      <c r="J839" t="s">
        <v>153</v>
      </c>
      <c r="K839">
        <v>8</v>
      </c>
      <c r="L839" t="s">
        <v>21</v>
      </c>
      <c r="M839" t="s">
        <v>22</v>
      </c>
      <c r="N839" t="s">
        <v>40</v>
      </c>
    </row>
    <row r="840" spans="1:14" x14ac:dyDescent="0.3">
      <c r="A840" t="s">
        <v>254</v>
      </c>
      <c r="B840" t="s">
        <v>25</v>
      </c>
      <c r="C840" t="s">
        <v>168</v>
      </c>
      <c r="D840" t="s">
        <v>136</v>
      </c>
      <c r="E840" t="s">
        <v>112</v>
      </c>
      <c r="F840" t="s">
        <v>36</v>
      </c>
      <c r="G840">
        <v>25007000</v>
      </c>
      <c r="H840" s="1">
        <v>44355</v>
      </c>
      <c r="I840">
        <v>2021</v>
      </c>
      <c r="J840" t="s">
        <v>141</v>
      </c>
      <c r="K840">
        <v>6</v>
      </c>
      <c r="L840" t="s">
        <v>38</v>
      </c>
      <c r="M840" t="s">
        <v>39</v>
      </c>
      <c r="N840" t="s">
        <v>31</v>
      </c>
    </row>
    <row r="841" spans="1:14" x14ac:dyDescent="0.3">
      <c r="A841" t="s">
        <v>629</v>
      </c>
      <c r="B841" t="s">
        <v>15</v>
      </c>
      <c r="C841" t="s">
        <v>53</v>
      </c>
      <c r="D841" t="s">
        <v>96</v>
      </c>
      <c r="E841" t="s">
        <v>630</v>
      </c>
      <c r="F841" t="s">
        <v>92</v>
      </c>
      <c r="G841">
        <v>5087000</v>
      </c>
      <c r="H841" s="1">
        <v>45754</v>
      </c>
      <c r="I841">
        <v>2025</v>
      </c>
      <c r="J841" t="s">
        <v>20</v>
      </c>
      <c r="K841">
        <v>4</v>
      </c>
      <c r="L841" t="s">
        <v>65</v>
      </c>
      <c r="M841" t="s">
        <v>30</v>
      </c>
      <c r="N841" t="s">
        <v>23</v>
      </c>
    </row>
    <row r="842" spans="1:14" x14ac:dyDescent="0.3">
      <c r="A842" t="s">
        <v>631</v>
      </c>
      <c r="B842" t="s">
        <v>32</v>
      </c>
      <c r="C842" t="s">
        <v>101</v>
      </c>
      <c r="D842" t="s">
        <v>136</v>
      </c>
      <c r="E842" t="s">
        <v>632</v>
      </c>
      <c r="F842" t="s">
        <v>19</v>
      </c>
      <c r="G842">
        <v>52000</v>
      </c>
      <c r="H842" s="1">
        <v>44639</v>
      </c>
      <c r="I842">
        <v>2022</v>
      </c>
      <c r="J842" t="s">
        <v>37</v>
      </c>
      <c r="K842">
        <v>3</v>
      </c>
      <c r="L842" t="s">
        <v>21</v>
      </c>
      <c r="M842" t="s">
        <v>22</v>
      </c>
      <c r="N842" t="s">
        <v>40</v>
      </c>
    </row>
    <row r="843" spans="1:14" x14ac:dyDescent="0.3">
      <c r="A843" t="s">
        <v>129</v>
      </c>
      <c r="B843" t="s">
        <v>32</v>
      </c>
      <c r="C843" t="s">
        <v>138</v>
      </c>
      <c r="D843" t="s">
        <v>96</v>
      </c>
      <c r="E843" t="s">
        <v>301</v>
      </c>
      <c r="F843" t="s">
        <v>64</v>
      </c>
      <c r="G843">
        <v>288051000</v>
      </c>
      <c r="H843" s="1">
        <v>44101</v>
      </c>
      <c r="I843">
        <v>2020</v>
      </c>
      <c r="J843" t="s">
        <v>46</v>
      </c>
      <c r="K843">
        <v>9</v>
      </c>
      <c r="L843" t="s">
        <v>65</v>
      </c>
      <c r="M843" t="s">
        <v>66</v>
      </c>
      <c r="N843" t="s">
        <v>40</v>
      </c>
    </row>
    <row r="844" spans="1:14" x14ac:dyDescent="0.3">
      <c r="A844" t="s">
        <v>408</v>
      </c>
      <c r="B844" t="s">
        <v>105</v>
      </c>
      <c r="C844" t="s">
        <v>106</v>
      </c>
      <c r="D844" t="s">
        <v>17</v>
      </c>
      <c r="E844" t="s">
        <v>226</v>
      </c>
      <c r="F844" t="s">
        <v>19</v>
      </c>
      <c r="G844">
        <v>96000</v>
      </c>
      <c r="H844" s="1">
        <v>45835</v>
      </c>
      <c r="I844">
        <v>2025</v>
      </c>
      <c r="J844" t="s">
        <v>141</v>
      </c>
      <c r="K844">
        <v>6</v>
      </c>
      <c r="L844" t="s">
        <v>21</v>
      </c>
      <c r="M844" t="s">
        <v>22</v>
      </c>
      <c r="N844" t="s">
        <v>23</v>
      </c>
    </row>
    <row r="845" spans="1:14" x14ac:dyDescent="0.3">
      <c r="A845" t="s">
        <v>137</v>
      </c>
      <c r="B845" t="s">
        <v>68</v>
      </c>
      <c r="C845" t="s">
        <v>69</v>
      </c>
      <c r="D845" t="s">
        <v>34</v>
      </c>
      <c r="E845" t="s">
        <v>91</v>
      </c>
      <c r="F845" t="s">
        <v>103</v>
      </c>
      <c r="G845">
        <v>13499000</v>
      </c>
      <c r="H845" s="1">
        <v>45390</v>
      </c>
      <c r="I845">
        <v>2024</v>
      </c>
      <c r="J845" t="s">
        <v>20</v>
      </c>
      <c r="K845">
        <v>4</v>
      </c>
      <c r="L845" t="s">
        <v>38</v>
      </c>
      <c r="M845" t="s">
        <v>39</v>
      </c>
      <c r="N845" t="s">
        <v>31</v>
      </c>
    </row>
    <row r="846" spans="1:14" x14ac:dyDescent="0.3">
      <c r="A846" t="s">
        <v>455</v>
      </c>
      <c r="B846" t="s">
        <v>86</v>
      </c>
      <c r="C846" t="s">
        <v>339</v>
      </c>
      <c r="D846" t="s">
        <v>54</v>
      </c>
      <c r="E846" t="s">
        <v>633</v>
      </c>
      <c r="F846" t="s">
        <v>103</v>
      </c>
      <c r="G846">
        <v>1496000</v>
      </c>
      <c r="H846" s="1">
        <v>45721</v>
      </c>
      <c r="I846">
        <v>2025</v>
      </c>
      <c r="J846" t="s">
        <v>37</v>
      </c>
      <c r="K846">
        <v>3</v>
      </c>
      <c r="L846" t="s">
        <v>38</v>
      </c>
      <c r="M846" t="s">
        <v>30</v>
      </c>
      <c r="N846" t="s">
        <v>47</v>
      </c>
    </row>
    <row r="847" spans="1:14" x14ac:dyDescent="0.3">
      <c r="A847" t="s">
        <v>48</v>
      </c>
      <c r="B847" t="s">
        <v>15</v>
      </c>
      <c r="C847" t="s">
        <v>16</v>
      </c>
      <c r="D847" t="s">
        <v>27</v>
      </c>
      <c r="E847" t="s">
        <v>539</v>
      </c>
      <c r="F847" t="s">
        <v>103</v>
      </c>
      <c r="G847">
        <v>3074000</v>
      </c>
      <c r="H847" s="1">
        <v>44165</v>
      </c>
      <c r="I847">
        <v>2020</v>
      </c>
      <c r="J847" t="s">
        <v>72</v>
      </c>
      <c r="K847">
        <v>11</v>
      </c>
      <c r="L847" t="s">
        <v>38</v>
      </c>
      <c r="M847" t="s">
        <v>30</v>
      </c>
      <c r="N847" t="s">
        <v>23</v>
      </c>
    </row>
    <row r="848" spans="1:14" x14ac:dyDescent="0.3">
      <c r="A848" t="s">
        <v>634</v>
      </c>
      <c r="B848" t="s">
        <v>86</v>
      </c>
      <c r="C848" t="s">
        <v>339</v>
      </c>
      <c r="D848" t="s">
        <v>70</v>
      </c>
      <c r="E848" t="s">
        <v>635</v>
      </c>
      <c r="F848" t="s">
        <v>103</v>
      </c>
      <c r="G848">
        <v>1260000</v>
      </c>
      <c r="H848" s="1">
        <v>45563</v>
      </c>
      <c r="I848">
        <v>2024</v>
      </c>
      <c r="J848" t="s">
        <v>46</v>
      </c>
      <c r="K848">
        <v>9</v>
      </c>
      <c r="L848" t="s">
        <v>38</v>
      </c>
      <c r="M848" t="s">
        <v>30</v>
      </c>
      <c r="N848" t="s">
        <v>47</v>
      </c>
    </row>
    <row r="849" spans="1:14" x14ac:dyDescent="0.3">
      <c r="A849" t="s">
        <v>210</v>
      </c>
      <c r="B849" t="s">
        <v>105</v>
      </c>
      <c r="C849" t="s">
        <v>106</v>
      </c>
      <c r="D849" t="s">
        <v>75</v>
      </c>
      <c r="E849" t="s">
        <v>258</v>
      </c>
      <c r="F849" t="s">
        <v>128</v>
      </c>
      <c r="G849">
        <v>99000</v>
      </c>
      <c r="H849" s="1">
        <v>45030</v>
      </c>
      <c r="I849">
        <v>2023</v>
      </c>
      <c r="J849" t="s">
        <v>20</v>
      </c>
      <c r="K849">
        <v>4</v>
      </c>
      <c r="L849" t="s">
        <v>21</v>
      </c>
      <c r="M849" t="s">
        <v>22</v>
      </c>
      <c r="N849" t="s">
        <v>23</v>
      </c>
    </row>
    <row r="850" spans="1:14" x14ac:dyDescent="0.3">
      <c r="A850" t="s">
        <v>507</v>
      </c>
      <c r="B850" t="s">
        <v>126</v>
      </c>
      <c r="C850" t="s">
        <v>159</v>
      </c>
      <c r="D850" t="s">
        <v>136</v>
      </c>
      <c r="E850" t="s">
        <v>636</v>
      </c>
      <c r="F850" t="s">
        <v>128</v>
      </c>
      <c r="G850">
        <v>23000</v>
      </c>
      <c r="H850" s="1">
        <v>44335</v>
      </c>
      <c r="I850">
        <v>2021</v>
      </c>
      <c r="J850" t="s">
        <v>77</v>
      </c>
      <c r="K850">
        <v>5</v>
      </c>
      <c r="L850" t="s">
        <v>21</v>
      </c>
      <c r="M850" t="s">
        <v>22</v>
      </c>
      <c r="N850" t="s">
        <v>40</v>
      </c>
    </row>
    <row r="851" spans="1:14" x14ac:dyDescent="0.3">
      <c r="A851" t="s">
        <v>285</v>
      </c>
      <c r="B851" t="s">
        <v>49</v>
      </c>
      <c r="C851" t="s">
        <v>135</v>
      </c>
      <c r="D851" t="s">
        <v>136</v>
      </c>
      <c r="E851" t="s">
        <v>242</v>
      </c>
      <c r="F851" t="s">
        <v>56</v>
      </c>
      <c r="G851">
        <v>394000</v>
      </c>
      <c r="H851" s="1">
        <v>45733</v>
      </c>
      <c r="I851">
        <v>2025</v>
      </c>
      <c r="J851" t="s">
        <v>37</v>
      </c>
      <c r="K851">
        <v>3</v>
      </c>
      <c r="L851" t="s">
        <v>38</v>
      </c>
      <c r="M851" t="s">
        <v>22</v>
      </c>
      <c r="N851" t="s">
        <v>40</v>
      </c>
    </row>
    <row r="852" spans="1:14" x14ac:dyDescent="0.3">
      <c r="A852" t="s">
        <v>637</v>
      </c>
      <c r="B852" t="s">
        <v>42</v>
      </c>
      <c r="C852" t="s">
        <v>205</v>
      </c>
      <c r="D852" t="s">
        <v>70</v>
      </c>
      <c r="E852" t="s">
        <v>258</v>
      </c>
      <c r="F852" t="s">
        <v>103</v>
      </c>
      <c r="G852">
        <v>1199000</v>
      </c>
      <c r="H852" s="1">
        <v>45787</v>
      </c>
      <c r="I852">
        <v>2025</v>
      </c>
      <c r="J852" t="s">
        <v>77</v>
      </c>
      <c r="K852">
        <v>5</v>
      </c>
      <c r="L852" t="s">
        <v>38</v>
      </c>
      <c r="M852" t="s">
        <v>30</v>
      </c>
      <c r="N852" t="s">
        <v>47</v>
      </c>
    </row>
    <row r="853" spans="1:14" x14ac:dyDescent="0.3">
      <c r="A853" t="s">
        <v>507</v>
      </c>
      <c r="B853" t="s">
        <v>81</v>
      </c>
      <c r="C853" t="s">
        <v>82</v>
      </c>
      <c r="D853" t="s">
        <v>70</v>
      </c>
      <c r="E853" t="s">
        <v>638</v>
      </c>
      <c r="F853" t="s">
        <v>19</v>
      </c>
      <c r="G853">
        <v>795000</v>
      </c>
      <c r="H853" s="1">
        <v>45329</v>
      </c>
      <c r="I853">
        <v>2024</v>
      </c>
      <c r="J853" t="s">
        <v>108</v>
      </c>
      <c r="K853">
        <v>2</v>
      </c>
      <c r="L853" t="s">
        <v>21</v>
      </c>
      <c r="M853" t="s">
        <v>22</v>
      </c>
      <c r="N853" t="s">
        <v>84</v>
      </c>
    </row>
    <row r="854" spans="1:14" x14ac:dyDescent="0.3">
      <c r="A854" t="s">
        <v>382</v>
      </c>
      <c r="B854" t="s">
        <v>59</v>
      </c>
      <c r="C854" t="s">
        <v>60</v>
      </c>
      <c r="D854" t="s">
        <v>34</v>
      </c>
      <c r="E854" t="s">
        <v>639</v>
      </c>
      <c r="F854" t="s">
        <v>19</v>
      </c>
      <c r="G854">
        <v>108000</v>
      </c>
      <c r="H854" s="1">
        <v>43944</v>
      </c>
      <c r="I854">
        <v>2020</v>
      </c>
      <c r="J854" t="s">
        <v>20</v>
      </c>
      <c r="K854">
        <v>4</v>
      </c>
      <c r="L854" t="s">
        <v>21</v>
      </c>
      <c r="M854" t="s">
        <v>22</v>
      </c>
      <c r="N854" t="s">
        <v>31</v>
      </c>
    </row>
    <row r="855" spans="1:14" x14ac:dyDescent="0.3">
      <c r="A855" t="s">
        <v>230</v>
      </c>
      <c r="B855" t="s">
        <v>15</v>
      </c>
      <c r="C855" t="s">
        <v>53</v>
      </c>
      <c r="D855" t="s">
        <v>17</v>
      </c>
      <c r="E855" t="s">
        <v>270</v>
      </c>
      <c r="F855" t="s">
        <v>117</v>
      </c>
      <c r="G855">
        <v>158000</v>
      </c>
      <c r="H855" s="1">
        <v>44257</v>
      </c>
      <c r="I855">
        <v>2021</v>
      </c>
      <c r="J855" t="s">
        <v>37</v>
      </c>
      <c r="K855">
        <v>3</v>
      </c>
      <c r="L855" t="s">
        <v>21</v>
      </c>
      <c r="M855" t="s">
        <v>22</v>
      </c>
      <c r="N855" t="s">
        <v>23</v>
      </c>
    </row>
    <row r="856" spans="1:14" x14ac:dyDescent="0.3">
      <c r="A856" t="s">
        <v>232</v>
      </c>
      <c r="B856" t="s">
        <v>59</v>
      </c>
      <c r="C856" t="s">
        <v>60</v>
      </c>
      <c r="D856" t="s">
        <v>54</v>
      </c>
      <c r="E856" t="s">
        <v>530</v>
      </c>
      <c r="F856" t="s">
        <v>19</v>
      </c>
      <c r="G856">
        <v>107000</v>
      </c>
      <c r="H856" s="1">
        <v>44836</v>
      </c>
      <c r="I856">
        <v>2022</v>
      </c>
      <c r="J856" t="s">
        <v>89</v>
      </c>
      <c r="K856">
        <v>10</v>
      </c>
      <c r="L856" t="s">
        <v>21</v>
      </c>
      <c r="M856" t="s">
        <v>22</v>
      </c>
      <c r="N856" t="s">
        <v>31</v>
      </c>
    </row>
    <row r="857" spans="1:14" x14ac:dyDescent="0.3">
      <c r="A857" t="s">
        <v>259</v>
      </c>
      <c r="B857" t="s">
        <v>186</v>
      </c>
      <c r="C857" t="s">
        <v>341</v>
      </c>
      <c r="D857" t="s">
        <v>111</v>
      </c>
      <c r="E857" t="s">
        <v>299</v>
      </c>
      <c r="F857" t="s">
        <v>19</v>
      </c>
      <c r="G857">
        <v>101000</v>
      </c>
      <c r="H857" s="1">
        <v>44743</v>
      </c>
      <c r="I857">
        <v>2022</v>
      </c>
      <c r="J857" t="s">
        <v>57</v>
      </c>
      <c r="K857">
        <v>7</v>
      </c>
      <c r="L857" t="s">
        <v>21</v>
      </c>
      <c r="M857" t="s">
        <v>22</v>
      </c>
      <c r="N857" t="s">
        <v>31</v>
      </c>
    </row>
    <row r="858" spans="1:14" x14ac:dyDescent="0.3">
      <c r="A858" t="s">
        <v>113</v>
      </c>
      <c r="B858" t="s">
        <v>186</v>
      </c>
      <c r="C858" t="s">
        <v>60</v>
      </c>
      <c r="D858" t="s">
        <v>96</v>
      </c>
      <c r="E858" t="s">
        <v>640</v>
      </c>
      <c r="F858" t="s">
        <v>103</v>
      </c>
      <c r="G858">
        <v>1104000</v>
      </c>
      <c r="H858" s="1">
        <v>44720</v>
      </c>
      <c r="I858">
        <v>2022</v>
      </c>
      <c r="J858" t="s">
        <v>141</v>
      </c>
      <c r="K858">
        <v>6</v>
      </c>
      <c r="L858" t="s">
        <v>38</v>
      </c>
      <c r="M858" t="s">
        <v>30</v>
      </c>
      <c r="N858" t="s">
        <v>31</v>
      </c>
    </row>
    <row r="859" spans="1:14" x14ac:dyDescent="0.3">
      <c r="A859" t="s">
        <v>328</v>
      </c>
      <c r="B859" t="s">
        <v>49</v>
      </c>
      <c r="C859" t="s">
        <v>50</v>
      </c>
      <c r="D859" t="s">
        <v>54</v>
      </c>
      <c r="E859" t="s">
        <v>641</v>
      </c>
      <c r="F859" t="s">
        <v>128</v>
      </c>
      <c r="G859">
        <v>21000</v>
      </c>
      <c r="H859" s="1">
        <v>44910</v>
      </c>
      <c r="I859">
        <v>2022</v>
      </c>
      <c r="J859" t="s">
        <v>99</v>
      </c>
      <c r="K859">
        <v>12</v>
      </c>
      <c r="L859" t="s">
        <v>21</v>
      </c>
      <c r="M859" t="s">
        <v>22</v>
      </c>
      <c r="N859" t="s">
        <v>40</v>
      </c>
    </row>
    <row r="860" spans="1:14" x14ac:dyDescent="0.3">
      <c r="A860" t="s">
        <v>309</v>
      </c>
      <c r="B860" t="s">
        <v>42</v>
      </c>
      <c r="C860" t="s">
        <v>43</v>
      </c>
      <c r="D860" t="s">
        <v>54</v>
      </c>
      <c r="E860" t="s">
        <v>242</v>
      </c>
      <c r="F860" t="s">
        <v>92</v>
      </c>
      <c r="G860">
        <v>3346000</v>
      </c>
      <c r="H860" s="1">
        <v>45232</v>
      </c>
      <c r="I860">
        <v>2023</v>
      </c>
      <c r="J860" t="s">
        <v>72</v>
      </c>
      <c r="K860">
        <v>11</v>
      </c>
      <c r="L860" t="s">
        <v>65</v>
      </c>
      <c r="M860" t="s">
        <v>30</v>
      </c>
      <c r="N860" t="s">
        <v>47</v>
      </c>
    </row>
    <row r="861" spans="1:14" x14ac:dyDescent="0.3">
      <c r="A861" t="s">
        <v>181</v>
      </c>
      <c r="B861" t="s">
        <v>81</v>
      </c>
      <c r="C861" t="s">
        <v>82</v>
      </c>
      <c r="D861" t="s">
        <v>17</v>
      </c>
      <c r="E861" t="s">
        <v>91</v>
      </c>
      <c r="F861" t="s">
        <v>128</v>
      </c>
      <c r="G861">
        <v>6000</v>
      </c>
      <c r="H861" s="1">
        <v>44882</v>
      </c>
      <c r="I861">
        <v>2022</v>
      </c>
      <c r="J861" t="s">
        <v>72</v>
      </c>
      <c r="K861">
        <v>11</v>
      </c>
      <c r="L861" t="s">
        <v>21</v>
      </c>
      <c r="M861" t="s">
        <v>22</v>
      </c>
      <c r="N861" t="s">
        <v>84</v>
      </c>
    </row>
    <row r="862" spans="1:14" x14ac:dyDescent="0.3">
      <c r="A862" t="s">
        <v>360</v>
      </c>
      <c r="B862" t="s">
        <v>186</v>
      </c>
      <c r="C862" t="s">
        <v>60</v>
      </c>
      <c r="D862" t="s">
        <v>75</v>
      </c>
      <c r="E862" t="s">
        <v>258</v>
      </c>
      <c r="F862" t="s">
        <v>132</v>
      </c>
      <c r="G862">
        <v>163351000</v>
      </c>
      <c r="H862" s="1">
        <v>44558</v>
      </c>
      <c r="I862">
        <v>2021</v>
      </c>
      <c r="J862" t="s">
        <v>99</v>
      </c>
      <c r="K862">
        <v>12</v>
      </c>
      <c r="L862" t="s">
        <v>65</v>
      </c>
      <c r="M862" t="s">
        <v>66</v>
      </c>
      <c r="N862" t="s">
        <v>31</v>
      </c>
    </row>
    <row r="863" spans="1:14" x14ac:dyDescent="0.3">
      <c r="A863" t="s">
        <v>642</v>
      </c>
      <c r="B863" t="s">
        <v>25</v>
      </c>
      <c r="C863" t="s">
        <v>26</v>
      </c>
      <c r="D863" t="s">
        <v>70</v>
      </c>
      <c r="E863" t="s">
        <v>643</v>
      </c>
      <c r="F863" t="s">
        <v>19</v>
      </c>
      <c r="G863">
        <v>266000</v>
      </c>
      <c r="H863" s="1">
        <v>44204</v>
      </c>
      <c r="I863">
        <v>2021</v>
      </c>
      <c r="J863" t="s">
        <v>29</v>
      </c>
      <c r="K863">
        <v>1</v>
      </c>
      <c r="L863" t="s">
        <v>21</v>
      </c>
      <c r="M863" t="s">
        <v>22</v>
      </c>
      <c r="N863" t="s">
        <v>31</v>
      </c>
    </row>
    <row r="864" spans="1:14" x14ac:dyDescent="0.3">
      <c r="A864" t="s">
        <v>249</v>
      </c>
      <c r="B864" t="s">
        <v>86</v>
      </c>
      <c r="C864" t="s">
        <v>339</v>
      </c>
      <c r="D864" t="s">
        <v>70</v>
      </c>
      <c r="E864" t="s">
        <v>61</v>
      </c>
      <c r="F864" t="s">
        <v>103</v>
      </c>
      <c r="G864">
        <v>4137000</v>
      </c>
      <c r="H864" s="1">
        <v>44373</v>
      </c>
      <c r="I864">
        <v>2021</v>
      </c>
      <c r="J864" t="s">
        <v>141</v>
      </c>
      <c r="K864">
        <v>6</v>
      </c>
      <c r="L864" t="s">
        <v>38</v>
      </c>
      <c r="M864" t="s">
        <v>30</v>
      </c>
      <c r="N864" t="s">
        <v>47</v>
      </c>
    </row>
    <row r="865" spans="1:14" x14ac:dyDescent="0.3">
      <c r="A865" t="s">
        <v>400</v>
      </c>
      <c r="B865" t="s">
        <v>186</v>
      </c>
      <c r="C865" t="s">
        <v>149</v>
      </c>
      <c r="D865" t="s">
        <v>34</v>
      </c>
      <c r="E865" t="s">
        <v>644</v>
      </c>
      <c r="F865" t="s">
        <v>64</v>
      </c>
      <c r="G865">
        <v>160008000</v>
      </c>
      <c r="H865" s="1">
        <v>44048</v>
      </c>
      <c r="I865">
        <v>2020</v>
      </c>
      <c r="J865" t="s">
        <v>153</v>
      </c>
      <c r="K865">
        <v>8</v>
      </c>
      <c r="L865" t="s">
        <v>65</v>
      </c>
      <c r="M865" t="s">
        <v>66</v>
      </c>
      <c r="N865" t="s">
        <v>31</v>
      </c>
    </row>
    <row r="866" spans="1:14" x14ac:dyDescent="0.3">
      <c r="A866" t="s">
        <v>191</v>
      </c>
      <c r="B866" t="s">
        <v>81</v>
      </c>
      <c r="C866" t="s">
        <v>130</v>
      </c>
      <c r="D866" t="s">
        <v>70</v>
      </c>
      <c r="E866" t="s">
        <v>645</v>
      </c>
      <c r="F866" t="s">
        <v>103</v>
      </c>
      <c r="G866">
        <v>2960000</v>
      </c>
      <c r="H866" s="1">
        <v>44660</v>
      </c>
      <c r="I866">
        <v>2022</v>
      </c>
      <c r="J866" t="s">
        <v>20</v>
      </c>
      <c r="K866">
        <v>4</v>
      </c>
      <c r="L866" t="s">
        <v>38</v>
      </c>
      <c r="M866" t="s">
        <v>30</v>
      </c>
      <c r="N866" t="s">
        <v>84</v>
      </c>
    </row>
    <row r="867" spans="1:14" x14ac:dyDescent="0.3">
      <c r="A867" t="s">
        <v>326</v>
      </c>
      <c r="B867" t="s">
        <v>25</v>
      </c>
      <c r="C867" t="s">
        <v>26</v>
      </c>
      <c r="D867" t="s">
        <v>136</v>
      </c>
      <c r="E867" t="s">
        <v>231</v>
      </c>
      <c r="F867" t="s">
        <v>132</v>
      </c>
      <c r="G867">
        <v>91037000</v>
      </c>
      <c r="H867" s="1">
        <v>44010</v>
      </c>
      <c r="I867">
        <v>2020</v>
      </c>
      <c r="J867" t="s">
        <v>141</v>
      </c>
      <c r="K867">
        <v>6</v>
      </c>
      <c r="L867" t="s">
        <v>65</v>
      </c>
      <c r="M867" t="s">
        <v>39</v>
      </c>
      <c r="N867" t="s">
        <v>31</v>
      </c>
    </row>
    <row r="868" spans="1:14" x14ac:dyDescent="0.3">
      <c r="A868" t="s">
        <v>304</v>
      </c>
      <c r="B868" t="s">
        <v>81</v>
      </c>
      <c r="C868" t="s">
        <v>130</v>
      </c>
      <c r="D868" t="s">
        <v>27</v>
      </c>
      <c r="E868" t="s">
        <v>116</v>
      </c>
      <c r="F868" t="s">
        <v>19</v>
      </c>
      <c r="G868">
        <v>89000</v>
      </c>
      <c r="H868" s="1">
        <v>45159</v>
      </c>
      <c r="I868">
        <v>2023</v>
      </c>
      <c r="J868" t="s">
        <v>153</v>
      </c>
      <c r="K868">
        <v>8</v>
      </c>
      <c r="L868" t="s">
        <v>21</v>
      </c>
      <c r="M868" t="s">
        <v>22</v>
      </c>
      <c r="N868" t="s">
        <v>84</v>
      </c>
    </row>
    <row r="869" spans="1:14" x14ac:dyDescent="0.3">
      <c r="A869" t="s">
        <v>455</v>
      </c>
      <c r="B869" t="s">
        <v>114</v>
      </c>
      <c r="C869" t="s">
        <v>243</v>
      </c>
      <c r="D869" t="s">
        <v>44</v>
      </c>
      <c r="E869" t="s">
        <v>646</v>
      </c>
      <c r="F869" t="s">
        <v>19</v>
      </c>
      <c r="G869">
        <v>98000</v>
      </c>
      <c r="H869" s="1">
        <v>45407</v>
      </c>
      <c r="I869">
        <v>2024</v>
      </c>
      <c r="J869" t="s">
        <v>20</v>
      </c>
      <c r="K869">
        <v>4</v>
      </c>
      <c r="L869" t="s">
        <v>21</v>
      </c>
      <c r="M869" t="s">
        <v>22</v>
      </c>
      <c r="N869" t="s">
        <v>47</v>
      </c>
    </row>
    <row r="870" spans="1:14" x14ac:dyDescent="0.3">
      <c r="A870" t="s">
        <v>191</v>
      </c>
      <c r="B870" t="s">
        <v>105</v>
      </c>
      <c r="C870" t="s">
        <v>345</v>
      </c>
      <c r="D870" t="s">
        <v>70</v>
      </c>
      <c r="E870" t="s">
        <v>28</v>
      </c>
      <c r="F870" t="s">
        <v>188</v>
      </c>
      <c r="G870">
        <v>1201000</v>
      </c>
      <c r="H870" s="1">
        <v>44796</v>
      </c>
      <c r="I870">
        <v>2022</v>
      </c>
      <c r="J870" t="s">
        <v>153</v>
      </c>
      <c r="K870">
        <v>8</v>
      </c>
      <c r="L870" t="s">
        <v>38</v>
      </c>
      <c r="M870" t="s">
        <v>30</v>
      </c>
      <c r="N870" t="s">
        <v>23</v>
      </c>
    </row>
    <row r="871" spans="1:14" x14ac:dyDescent="0.3">
      <c r="A871" t="s">
        <v>158</v>
      </c>
      <c r="B871" t="s">
        <v>126</v>
      </c>
      <c r="C871" t="s">
        <v>265</v>
      </c>
      <c r="D871" t="s">
        <v>27</v>
      </c>
      <c r="E871" t="s">
        <v>647</v>
      </c>
      <c r="F871" t="s">
        <v>19</v>
      </c>
      <c r="G871">
        <v>1639000</v>
      </c>
      <c r="H871" s="1">
        <v>44041</v>
      </c>
      <c r="I871">
        <v>2020</v>
      </c>
      <c r="J871" t="s">
        <v>57</v>
      </c>
      <c r="K871">
        <v>7</v>
      </c>
      <c r="L871" t="s">
        <v>21</v>
      </c>
      <c r="M871" t="s">
        <v>30</v>
      </c>
      <c r="N871" t="s">
        <v>40</v>
      </c>
    </row>
    <row r="872" spans="1:14" x14ac:dyDescent="0.3">
      <c r="A872" t="s">
        <v>161</v>
      </c>
      <c r="B872" t="s">
        <v>126</v>
      </c>
      <c r="C872" t="s">
        <v>127</v>
      </c>
      <c r="D872" t="s">
        <v>111</v>
      </c>
      <c r="E872" t="s">
        <v>648</v>
      </c>
      <c r="F872" t="s">
        <v>92</v>
      </c>
      <c r="G872">
        <v>1018000</v>
      </c>
      <c r="H872" s="1">
        <v>43906</v>
      </c>
      <c r="I872">
        <v>2020</v>
      </c>
      <c r="J872" t="s">
        <v>37</v>
      </c>
      <c r="K872">
        <v>3</v>
      </c>
      <c r="L872" t="s">
        <v>65</v>
      </c>
      <c r="M872" t="s">
        <v>30</v>
      </c>
      <c r="N872" t="s">
        <v>40</v>
      </c>
    </row>
    <row r="873" spans="1:14" x14ac:dyDescent="0.3">
      <c r="A873" t="s">
        <v>312</v>
      </c>
      <c r="B873" t="s">
        <v>15</v>
      </c>
      <c r="C873" t="s">
        <v>74</v>
      </c>
      <c r="D873" t="s">
        <v>111</v>
      </c>
      <c r="E873" t="s">
        <v>192</v>
      </c>
      <c r="F873" t="s">
        <v>117</v>
      </c>
      <c r="G873">
        <v>37000</v>
      </c>
      <c r="H873" s="1">
        <v>45011</v>
      </c>
      <c r="I873">
        <v>2023</v>
      </c>
      <c r="J873" t="s">
        <v>37</v>
      </c>
      <c r="K873">
        <v>3</v>
      </c>
      <c r="L873" t="s">
        <v>21</v>
      </c>
      <c r="M873" t="s">
        <v>22</v>
      </c>
      <c r="N873" t="s">
        <v>23</v>
      </c>
    </row>
    <row r="874" spans="1:14" x14ac:dyDescent="0.3">
      <c r="A874" t="s">
        <v>331</v>
      </c>
      <c r="B874" t="s">
        <v>68</v>
      </c>
      <c r="C874" t="s">
        <v>69</v>
      </c>
      <c r="D874" t="s">
        <v>17</v>
      </c>
      <c r="E874" t="s">
        <v>649</v>
      </c>
      <c r="F874" t="s">
        <v>103</v>
      </c>
      <c r="G874">
        <v>5720000</v>
      </c>
      <c r="H874" s="1">
        <v>45753</v>
      </c>
      <c r="I874">
        <v>2025</v>
      </c>
      <c r="J874" t="s">
        <v>20</v>
      </c>
      <c r="K874">
        <v>4</v>
      </c>
      <c r="L874" t="s">
        <v>38</v>
      </c>
      <c r="M874" t="s">
        <v>30</v>
      </c>
      <c r="N874" t="s">
        <v>31</v>
      </c>
    </row>
    <row r="875" spans="1:14" x14ac:dyDescent="0.3">
      <c r="A875" t="s">
        <v>151</v>
      </c>
      <c r="B875" t="s">
        <v>42</v>
      </c>
      <c r="C875" t="s">
        <v>43</v>
      </c>
      <c r="D875" t="s">
        <v>70</v>
      </c>
      <c r="E875" t="s">
        <v>362</v>
      </c>
      <c r="F875" t="s">
        <v>19</v>
      </c>
      <c r="G875">
        <v>226000</v>
      </c>
      <c r="H875" s="1">
        <v>44280</v>
      </c>
      <c r="I875">
        <v>2021</v>
      </c>
      <c r="J875" t="s">
        <v>37</v>
      </c>
      <c r="K875">
        <v>3</v>
      </c>
      <c r="L875" t="s">
        <v>21</v>
      </c>
      <c r="M875" t="s">
        <v>22</v>
      </c>
      <c r="N875" t="s">
        <v>47</v>
      </c>
    </row>
    <row r="876" spans="1:14" x14ac:dyDescent="0.3">
      <c r="A876" t="s">
        <v>221</v>
      </c>
      <c r="B876" t="s">
        <v>105</v>
      </c>
      <c r="C876" t="s">
        <v>106</v>
      </c>
      <c r="D876" t="s">
        <v>136</v>
      </c>
      <c r="E876" t="s">
        <v>650</v>
      </c>
      <c r="F876" t="s">
        <v>188</v>
      </c>
      <c r="G876">
        <v>55000</v>
      </c>
      <c r="H876" s="1">
        <v>45537</v>
      </c>
      <c r="I876">
        <v>2024</v>
      </c>
      <c r="J876" t="s">
        <v>46</v>
      </c>
      <c r="K876">
        <v>9</v>
      </c>
      <c r="L876" t="s">
        <v>38</v>
      </c>
      <c r="M876" t="s">
        <v>22</v>
      </c>
      <c r="N876" t="s">
        <v>23</v>
      </c>
    </row>
    <row r="877" spans="1:14" x14ac:dyDescent="0.3">
      <c r="A877" t="s">
        <v>318</v>
      </c>
      <c r="B877" t="s">
        <v>126</v>
      </c>
      <c r="C877" t="s">
        <v>159</v>
      </c>
      <c r="D877" t="s">
        <v>34</v>
      </c>
      <c r="E877" t="s">
        <v>651</v>
      </c>
      <c r="F877" t="s">
        <v>36</v>
      </c>
      <c r="G877">
        <v>7709000</v>
      </c>
      <c r="H877" s="1">
        <v>44007</v>
      </c>
      <c r="I877">
        <v>2020</v>
      </c>
      <c r="J877" t="s">
        <v>141</v>
      </c>
      <c r="K877">
        <v>6</v>
      </c>
      <c r="L877" t="s">
        <v>38</v>
      </c>
      <c r="M877" t="s">
        <v>30</v>
      </c>
      <c r="N877" t="s">
        <v>40</v>
      </c>
    </row>
    <row r="878" spans="1:14" x14ac:dyDescent="0.3">
      <c r="A878" t="s">
        <v>272</v>
      </c>
      <c r="B878" t="s">
        <v>68</v>
      </c>
      <c r="C878" t="s">
        <v>69</v>
      </c>
      <c r="D878" t="s">
        <v>34</v>
      </c>
      <c r="E878" t="s">
        <v>61</v>
      </c>
      <c r="F878" t="s">
        <v>19</v>
      </c>
      <c r="G878">
        <v>701000</v>
      </c>
      <c r="H878" s="1">
        <v>44971</v>
      </c>
      <c r="I878">
        <v>2023</v>
      </c>
      <c r="J878" t="s">
        <v>108</v>
      </c>
      <c r="K878">
        <v>2</v>
      </c>
      <c r="L878" t="s">
        <v>21</v>
      </c>
      <c r="M878" t="s">
        <v>22</v>
      </c>
      <c r="N878" t="s">
        <v>31</v>
      </c>
    </row>
    <row r="879" spans="1:14" x14ac:dyDescent="0.3">
      <c r="A879" t="s">
        <v>446</v>
      </c>
      <c r="B879" t="s">
        <v>94</v>
      </c>
      <c r="C879" t="s">
        <v>159</v>
      </c>
      <c r="D879" t="s">
        <v>54</v>
      </c>
      <c r="E879" t="s">
        <v>503</v>
      </c>
      <c r="F879" t="s">
        <v>19</v>
      </c>
      <c r="G879">
        <v>568000</v>
      </c>
      <c r="H879" s="1">
        <v>45591</v>
      </c>
      <c r="I879">
        <v>2024</v>
      </c>
      <c r="J879" t="s">
        <v>89</v>
      </c>
      <c r="K879">
        <v>10</v>
      </c>
      <c r="L879" t="s">
        <v>21</v>
      </c>
      <c r="M879" t="s">
        <v>22</v>
      </c>
      <c r="N879" t="s">
        <v>40</v>
      </c>
    </row>
    <row r="880" spans="1:14" x14ac:dyDescent="0.3">
      <c r="A880" t="s">
        <v>408</v>
      </c>
      <c r="B880" t="s">
        <v>186</v>
      </c>
      <c r="C880" t="s">
        <v>149</v>
      </c>
      <c r="D880" t="s">
        <v>44</v>
      </c>
      <c r="E880" t="s">
        <v>652</v>
      </c>
      <c r="F880" t="s">
        <v>19</v>
      </c>
      <c r="G880">
        <v>55000</v>
      </c>
      <c r="H880" s="1">
        <v>44289</v>
      </c>
      <c r="I880">
        <v>2021</v>
      </c>
      <c r="J880" t="s">
        <v>20</v>
      </c>
      <c r="K880">
        <v>4</v>
      </c>
      <c r="L880" t="s">
        <v>21</v>
      </c>
      <c r="M880" t="s">
        <v>22</v>
      </c>
      <c r="N880" t="s">
        <v>31</v>
      </c>
    </row>
    <row r="881" spans="1:14" x14ac:dyDescent="0.3">
      <c r="A881" t="s">
        <v>176</v>
      </c>
      <c r="B881" t="s">
        <v>59</v>
      </c>
      <c r="C881" t="s">
        <v>60</v>
      </c>
      <c r="D881" t="s">
        <v>34</v>
      </c>
      <c r="E881" t="s">
        <v>653</v>
      </c>
      <c r="F881" t="s">
        <v>128</v>
      </c>
      <c r="G881">
        <v>10000</v>
      </c>
      <c r="H881" s="1">
        <v>45578</v>
      </c>
      <c r="I881">
        <v>2024</v>
      </c>
      <c r="J881" t="s">
        <v>89</v>
      </c>
      <c r="K881">
        <v>10</v>
      </c>
      <c r="L881" t="s">
        <v>21</v>
      </c>
      <c r="M881" t="s">
        <v>22</v>
      </c>
      <c r="N881" t="s">
        <v>31</v>
      </c>
    </row>
    <row r="882" spans="1:14" x14ac:dyDescent="0.3">
      <c r="A882" t="s">
        <v>382</v>
      </c>
      <c r="B882" t="s">
        <v>42</v>
      </c>
      <c r="C882" t="s">
        <v>43</v>
      </c>
      <c r="D882" t="s">
        <v>17</v>
      </c>
      <c r="E882" t="s">
        <v>289</v>
      </c>
      <c r="F882" t="s">
        <v>188</v>
      </c>
      <c r="G882">
        <v>117000</v>
      </c>
      <c r="H882" s="1">
        <v>45431</v>
      </c>
      <c r="I882">
        <v>2024</v>
      </c>
      <c r="J882" t="s">
        <v>77</v>
      </c>
      <c r="K882">
        <v>5</v>
      </c>
      <c r="L882" t="s">
        <v>38</v>
      </c>
      <c r="M882" t="s">
        <v>22</v>
      </c>
      <c r="N882" t="s">
        <v>47</v>
      </c>
    </row>
    <row r="883" spans="1:14" x14ac:dyDescent="0.3">
      <c r="A883" t="s">
        <v>104</v>
      </c>
      <c r="B883" t="s">
        <v>114</v>
      </c>
      <c r="C883" t="s">
        <v>243</v>
      </c>
      <c r="D883" t="s">
        <v>27</v>
      </c>
      <c r="E883" t="s">
        <v>654</v>
      </c>
      <c r="F883" t="s">
        <v>103</v>
      </c>
      <c r="G883">
        <v>6169000</v>
      </c>
      <c r="H883" s="1">
        <v>44173</v>
      </c>
      <c r="I883">
        <v>2020</v>
      </c>
      <c r="J883" t="s">
        <v>99</v>
      </c>
      <c r="K883">
        <v>12</v>
      </c>
      <c r="L883" t="s">
        <v>38</v>
      </c>
      <c r="M883" t="s">
        <v>30</v>
      </c>
      <c r="N883" t="s">
        <v>47</v>
      </c>
    </row>
    <row r="884" spans="1:14" x14ac:dyDescent="0.3">
      <c r="A884" t="s">
        <v>323</v>
      </c>
      <c r="B884" t="s">
        <v>25</v>
      </c>
      <c r="C884" t="s">
        <v>168</v>
      </c>
      <c r="D884" t="s">
        <v>111</v>
      </c>
      <c r="E884" t="s">
        <v>63</v>
      </c>
      <c r="F884" t="s">
        <v>103</v>
      </c>
      <c r="G884">
        <v>1055000</v>
      </c>
      <c r="H884" s="1">
        <v>45613</v>
      </c>
      <c r="I884">
        <v>2024</v>
      </c>
      <c r="J884" t="s">
        <v>72</v>
      </c>
      <c r="K884">
        <v>11</v>
      </c>
      <c r="L884" t="s">
        <v>38</v>
      </c>
      <c r="M884" t="s">
        <v>30</v>
      </c>
      <c r="N884" t="s">
        <v>31</v>
      </c>
    </row>
    <row r="885" spans="1:14" x14ac:dyDescent="0.3">
      <c r="A885" t="s">
        <v>122</v>
      </c>
      <c r="B885" t="s">
        <v>86</v>
      </c>
      <c r="C885" t="s">
        <v>87</v>
      </c>
      <c r="D885" t="s">
        <v>17</v>
      </c>
      <c r="E885" t="s">
        <v>416</v>
      </c>
      <c r="F885" t="s">
        <v>175</v>
      </c>
      <c r="G885">
        <v>63545000</v>
      </c>
      <c r="H885" s="1">
        <v>44730</v>
      </c>
      <c r="I885">
        <v>2022</v>
      </c>
      <c r="J885" t="s">
        <v>141</v>
      </c>
      <c r="K885">
        <v>6</v>
      </c>
      <c r="L885" t="s">
        <v>65</v>
      </c>
      <c r="M885" t="s">
        <v>39</v>
      </c>
      <c r="N885" t="s">
        <v>47</v>
      </c>
    </row>
    <row r="886" spans="1:14" x14ac:dyDescent="0.3">
      <c r="A886" t="s">
        <v>41</v>
      </c>
      <c r="B886" t="s">
        <v>32</v>
      </c>
      <c r="C886" t="s">
        <v>33</v>
      </c>
      <c r="D886" t="s">
        <v>17</v>
      </c>
      <c r="E886" t="s">
        <v>598</v>
      </c>
      <c r="F886" t="s">
        <v>19</v>
      </c>
      <c r="G886">
        <v>956000</v>
      </c>
      <c r="H886" s="1">
        <v>45295</v>
      </c>
      <c r="I886">
        <v>2024</v>
      </c>
      <c r="J886" t="s">
        <v>29</v>
      </c>
      <c r="K886">
        <v>1</v>
      </c>
      <c r="L886" t="s">
        <v>21</v>
      </c>
      <c r="M886" t="s">
        <v>22</v>
      </c>
      <c r="N886" t="s">
        <v>40</v>
      </c>
    </row>
    <row r="887" spans="1:14" x14ac:dyDescent="0.3">
      <c r="A887" t="s">
        <v>120</v>
      </c>
      <c r="B887" t="s">
        <v>32</v>
      </c>
      <c r="C887" t="s">
        <v>138</v>
      </c>
      <c r="D887" t="s">
        <v>44</v>
      </c>
      <c r="E887" t="s">
        <v>369</v>
      </c>
      <c r="F887" t="s">
        <v>19</v>
      </c>
      <c r="G887">
        <v>97000</v>
      </c>
      <c r="H887" s="1">
        <v>44709</v>
      </c>
      <c r="I887">
        <v>2022</v>
      </c>
      <c r="J887" t="s">
        <v>77</v>
      </c>
      <c r="K887">
        <v>5</v>
      </c>
      <c r="L887" t="s">
        <v>21</v>
      </c>
      <c r="M887" t="s">
        <v>22</v>
      </c>
      <c r="N887" t="s">
        <v>40</v>
      </c>
    </row>
    <row r="888" spans="1:14" x14ac:dyDescent="0.3">
      <c r="A888" t="s">
        <v>326</v>
      </c>
      <c r="B888" t="s">
        <v>81</v>
      </c>
      <c r="C888" t="s">
        <v>90</v>
      </c>
      <c r="D888" t="s">
        <v>54</v>
      </c>
      <c r="E888" t="s">
        <v>213</v>
      </c>
      <c r="F888" t="s">
        <v>132</v>
      </c>
      <c r="G888">
        <v>117144000</v>
      </c>
      <c r="H888" s="1">
        <v>45300</v>
      </c>
      <c r="I888">
        <v>2024</v>
      </c>
      <c r="J888" t="s">
        <v>29</v>
      </c>
      <c r="K888">
        <v>1</v>
      </c>
      <c r="L888" t="s">
        <v>65</v>
      </c>
      <c r="M888" t="s">
        <v>66</v>
      </c>
      <c r="N888" t="s">
        <v>84</v>
      </c>
    </row>
    <row r="889" spans="1:14" x14ac:dyDescent="0.3">
      <c r="A889" t="s">
        <v>142</v>
      </c>
      <c r="B889" t="s">
        <v>59</v>
      </c>
      <c r="C889" t="s">
        <v>123</v>
      </c>
      <c r="D889" t="s">
        <v>136</v>
      </c>
      <c r="E889" t="s">
        <v>315</v>
      </c>
      <c r="F889" t="s">
        <v>19</v>
      </c>
      <c r="G889">
        <v>120000</v>
      </c>
      <c r="H889" s="1">
        <v>45385</v>
      </c>
      <c r="I889">
        <v>2024</v>
      </c>
      <c r="J889" t="s">
        <v>20</v>
      </c>
      <c r="K889">
        <v>4</v>
      </c>
      <c r="L889" t="s">
        <v>21</v>
      </c>
      <c r="M889" t="s">
        <v>22</v>
      </c>
      <c r="N889" t="s">
        <v>31</v>
      </c>
    </row>
    <row r="890" spans="1:14" x14ac:dyDescent="0.3">
      <c r="A890" t="s">
        <v>120</v>
      </c>
      <c r="B890" t="s">
        <v>81</v>
      </c>
      <c r="C890" t="s">
        <v>82</v>
      </c>
      <c r="D890" t="s">
        <v>34</v>
      </c>
      <c r="E890" t="s">
        <v>655</v>
      </c>
      <c r="F890" t="s">
        <v>56</v>
      </c>
      <c r="G890">
        <v>126000</v>
      </c>
      <c r="H890" s="1">
        <v>45645</v>
      </c>
      <c r="I890">
        <v>2024</v>
      </c>
      <c r="J890" t="s">
        <v>99</v>
      </c>
      <c r="K890">
        <v>12</v>
      </c>
      <c r="L890" t="s">
        <v>38</v>
      </c>
      <c r="M890" t="s">
        <v>22</v>
      </c>
      <c r="N890" t="s">
        <v>84</v>
      </c>
    </row>
    <row r="891" spans="1:14" x14ac:dyDescent="0.3">
      <c r="A891" t="s">
        <v>142</v>
      </c>
      <c r="B891" t="s">
        <v>81</v>
      </c>
      <c r="C891" t="s">
        <v>319</v>
      </c>
      <c r="D891" t="s">
        <v>111</v>
      </c>
      <c r="E891" t="s">
        <v>591</v>
      </c>
      <c r="F891" t="s">
        <v>103</v>
      </c>
      <c r="G891">
        <v>1932000</v>
      </c>
      <c r="H891" s="1">
        <v>44131</v>
      </c>
      <c r="I891">
        <v>2020</v>
      </c>
      <c r="J891" t="s">
        <v>89</v>
      </c>
      <c r="K891">
        <v>10</v>
      </c>
      <c r="L891" t="s">
        <v>38</v>
      </c>
      <c r="M891" t="s">
        <v>30</v>
      </c>
      <c r="N891" t="s">
        <v>84</v>
      </c>
    </row>
    <row r="892" spans="1:14" x14ac:dyDescent="0.3">
      <c r="A892" t="s">
        <v>58</v>
      </c>
      <c r="B892" t="s">
        <v>25</v>
      </c>
      <c r="C892" t="s">
        <v>168</v>
      </c>
      <c r="D892" t="s">
        <v>136</v>
      </c>
      <c r="E892" t="s">
        <v>112</v>
      </c>
      <c r="F892" t="s">
        <v>132</v>
      </c>
      <c r="G892">
        <v>141411000</v>
      </c>
      <c r="H892" s="1">
        <v>45635</v>
      </c>
      <c r="I892">
        <v>2024</v>
      </c>
      <c r="J892" t="s">
        <v>99</v>
      </c>
      <c r="K892">
        <v>12</v>
      </c>
      <c r="L892" t="s">
        <v>65</v>
      </c>
      <c r="M892" t="s">
        <v>66</v>
      </c>
      <c r="N892" t="s">
        <v>31</v>
      </c>
    </row>
    <row r="893" spans="1:14" x14ac:dyDescent="0.3">
      <c r="A893" t="s">
        <v>354</v>
      </c>
      <c r="B893" t="s">
        <v>25</v>
      </c>
      <c r="C893" t="s">
        <v>26</v>
      </c>
      <c r="D893" t="s">
        <v>54</v>
      </c>
      <c r="E893" t="s">
        <v>18</v>
      </c>
      <c r="F893" t="s">
        <v>103</v>
      </c>
      <c r="G893">
        <v>10148000</v>
      </c>
      <c r="H893" s="1">
        <v>44938</v>
      </c>
      <c r="I893">
        <v>2023</v>
      </c>
      <c r="J893" t="s">
        <v>29</v>
      </c>
      <c r="K893">
        <v>1</v>
      </c>
      <c r="L893" t="s">
        <v>38</v>
      </c>
      <c r="M893" t="s">
        <v>39</v>
      </c>
      <c r="N893" t="s">
        <v>31</v>
      </c>
    </row>
    <row r="894" spans="1:14" x14ac:dyDescent="0.3">
      <c r="A894" t="s">
        <v>237</v>
      </c>
      <c r="B894" t="s">
        <v>59</v>
      </c>
      <c r="C894" t="s">
        <v>60</v>
      </c>
      <c r="D894" t="s">
        <v>54</v>
      </c>
      <c r="E894" t="s">
        <v>656</v>
      </c>
      <c r="F894" t="s">
        <v>117</v>
      </c>
      <c r="G894">
        <v>135000</v>
      </c>
      <c r="H894" s="1">
        <v>45654</v>
      </c>
      <c r="I894">
        <v>2024</v>
      </c>
      <c r="J894" t="s">
        <v>99</v>
      </c>
      <c r="K894">
        <v>12</v>
      </c>
      <c r="L894" t="s">
        <v>21</v>
      </c>
      <c r="M894" t="s">
        <v>22</v>
      </c>
      <c r="N894" t="s">
        <v>31</v>
      </c>
    </row>
    <row r="895" spans="1:14" x14ac:dyDescent="0.3">
      <c r="A895" t="s">
        <v>269</v>
      </c>
      <c r="B895" t="s">
        <v>25</v>
      </c>
      <c r="C895" t="s">
        <v>168</v>
      </c>
      <c r="D895" t="s">
        <v>111</v>
      </c>
      <c r="E895" t="s">
        <v>217</v>
      </c>
      <c r="F895" t="s">
        <v>19</v>
      </c>
      <c r="G895">
        <v>216000</v>
      </c>
      <c r="H895" s="1">
        <v>43953</v>
      </c>
      <c r="I895">
        <v>2020</v>
      </c>
      <c r="J895" t="s">
        <v>77</v>
      </c>
      <c r="K895">
        <v>5</v>
      </c>
      <c r="L895" t="s">
        <v>21</v>
      </c>
      <c r="M895" t="s">
        <v>22</v>
      </c>
      <c r="N895" t="s">
        <v>31</v>
      </c>
    </row>
    <row r="896" spans="1:14" x14ac:dyDescent="0.3">
      <c r="A896" t="s">
        <v>93</v>
      </c>
      <c r="B896" t="s">
        <v>86</v>
      </c>
      <c r="C896" t="s">
        <v>283</v>
      </c>
      <c r="D896" t="s">
        <v>27</v>
      </c>
      <c r="E896" t="s">
        <v>183</v>
      </c>
      <c r="F896" t="s">
        <v>132</v>
      </c>
      <c r="G896">
        <v>122112000</v>
      </c>
      <c r="H896" s="1">
        <v>45758</v>
      </c>
      <c r="I896">
        <v>2025</v>
      </c>
      <c r="J896" t="s">
        <v>20</v>
      </c>
      <c r="K896">
        <v>4</v>
      </c>
      <c r="L896" t="s">
        <v>65</v>
      </c>
      <c r="M896" t="s">
        <v>66</v>
      </c>
      <c r="N896" t="s">
        <v>47</v>
      </c>
    </row>
    <row r="897" spans="1:14" x14ac:dyDescent="0.3">
      <c r="A897" t="s">
        <v>507</v>
      </c>
      <c r="B897" t="s">
        <v>15</v>
      </c>
      <c r="C897" t="s">
        <v>16</v>
      </c>
      <c r="D897" t="s">
        <v>96</v>
      </c>
      <c r="E897" t="s">
        <v>657</v>
      </c>
      <c r="F897" t="s">
        <v>19</v>
      </c>
      <c r="G897">
        <v>107000</v>
      </c>
      <c r="H897" s="1">
        <v>45196</v>
      </c>
      <c r="I897">
        <v>2023</v>
      </c>
      <c r="J897" t="s">
        <v>46</v>
      </c>
      <c r="K897">
        <v>9</v>
      </c>
      <c r="L897" t="s">
        <v>21</v>
      </c>
      <c r="M897" t="s">
        <v>22</v>
      </c>
      <c r="N897" t="s">
        <v>23</v>
      </c>
    </row>
    <row r="898" spans="1:14" x14ac:dyDescent="0.3">
      <c r="A898" t="s">
        <v>80</v>
      </c>
      <c r="B898" t="s">
        <v>32</v>
      </c>
      <c r="C898" t="s">
        <v>101</v>
      </c>
      <c r="D898" t="s">
        <v>44</v>
      </c>
      <c r="E898" t="s">
        <v>280</v>
      </c>
      <c r="F898" t="s">
        <v>132</v>
      </c>
      <c r="G898">
        <v>44238000</v>
      </c>
      <c r="H898" s="1">
        <v>44570</v>
      </c>
      <c r="I898">
        <v>2022</v>
      </c>
      <c r="J898" t="s">
        <v>29</v>
      </c>
      <c r="K898">
        <v>1</v>
      </c>
      <c r="L898" t="s">
        <v>65</v>
      </c>
      <c r="M898" t="s">
        <v>39</v>
      </c>
      <c r="N898" t="s">
        <v>40</v>
      </c>
    </row>
    <row r="899" spans="1:14" x14ac:dyDescent="0.3">
      <c r="A899" t="s">
        <v>360</v>
      </c>
      <c r="B899" t="s">
        <v>186</v>
      </c>
      <c r="C899" t="s">
        <v>187</v>
      </c>
      <c r="D899" t="s">
        <v>27</v>
      </c>
      <c r="E899" t="s">
        <v>658</v>
      </c>
      <c r="F899" t="s">
        <v>56</v>
      </c>
      <c r="G899">
        <v>788000</v>
      </c>
      <c r="H899" s="1">
        <v>44097</v>
      </c>
      <c r="I899">
        <v>2020</v>
      </c>
      <c r="J899" t="s">
        <v>46</v>
      </c>
      <c r="K899">
        <v>9</v>
      </c>
      <c r="L899" t="s">
        <v>38</v>
      </c>
      <c r="M899" t="s">
        <v>22</v>
      </c>
      <c r="N899" t="s">
        <v>31</v>
      </c>
    </row>
    <row r="900" spans="1:14" x14ac:dyDescent="0.3">
      <c r="A900" t="s">
        <v>232</v>
      </c>
      <c r="B900" t="s">
        <v>32</v>
      </c>
      <c r="C900" t="s">
        <v>138</v>
      </c>
      <c r="D900" t="s">
        <v>34</v>
      </c>
      <c r="E900" t="s">
        <v>419</v>
      </c>
      <c r="F900" t="s">
        <v>103</v>
      </c>
      <c r="G900">
        <v>1036000</v>
      </c>
      <c r="H900" s="1">
        <v>45134</v>
      </c>
      <c r="I900">
        <v>2023</v>
      </c>
      <c r="J900" t="s">
        <v>57</v>
      </c>
      <c r="K900">
        <v>7</v>
      </c>
      <c r="L900" t="s">
        <v>38</v>
      </c>
      <c r="M900" t="s">
        <v>30</v>
      </c>
      <c r="N900" t="s">
        <v>40</v>
      </c>
    </row>
    <row r="901" spans="1:14" x14ac:dyDescent="0.3">
      <c r="A901" t="s">
        <v>272</v>
      </c>
      <c r="B901" t="s">
        <v>68</v>
      </c>
      <c r="C901" t="s">
        <v>324</v>
      </c>
      <c r="D901" t="s">
        <v>54</v>
      </c>
      <c r="E901" t="s">
        <v>659</v>
      </c>
      <c r="F901" t="s">
        <v>103</v>
      </c>
      <c r="G901">
        <v>1261000</v>
      </c>
      <c r="H901" s="1">
        <v>44823</v>
      </c>
      <c r="I901">
        <v>2022</v>
      </c>
      <c r="J901" t="s">
        <v>46</v>
      </c>
      <c r="K901">
        <v>9</v>
      </c>
      <c r="L901" t="s">
        <v>38</v>
      </c>
      <c r="M901" t="s">
        <v>30</v>
      </c>
      <c r="N901" t="s">
        <v>31</v>
      </c>
    </row>
    <row r="902" spans="1:14" x14ac:dyDescent="0.3">
      <c r="A902" t="s">
        <v>14</v>
      </c>
      <c r="B902" t="s">
        <v>25</v>
      </c>
      <c r="C902" t="s">
        <v>171</v>
      </c>
      <c r="D902" t="s">
        <v>70</v>
      </c>
      <c r="E902" t="s">
        <v>234</v>
      </c>
      <c r="F902" t="s">
        <v>103</v>
      </c>
      <c r="G902">
        <v>1756000</v>
      </c>
      <c r="H902" s="1">
        <v>45359</v>
      </c>
      <c r="I902">
        <v>2024</v>
      </c>
      <c r="J902" t="s">
        <v>37</v>
      </c>
      <c r="K902">
        <v>3</v>
      </c>
      <c r="L902" t="s">
        <v>38</v>
      </c>
      <c r="M902" t="s">
        <v>30</v>
      </c>
      <c r="N902" t="s">
        <v>31</v>
      </c>
    </row>
    <row r="903" spans="1:14" x14ac:dyDescent="0.3">
      <c r="A903" t="s">
        <v>204</v>
      </c>
      <c r="B903" t="s">
        <v>186</v>
      </c>
      <c r="C903" t="s">
        <v>149</v>
      </c>
      <c r="D903" t="s">
        <v>136</v>
      </c>
      <c r="E903" t="s">
        <v>660</v>
      </c>
      <c r="F903" t="s">
        <v>19</v>
      </c>
      <c r="G903">
        <v>55000</v>
      </c>
      <c r="H903" s="1">
        <v>44587</v>
      </c>
      <c r="I903">
        <v>2022</v>
      </c>
      <c r="J903" t="s">
        <v>29</v>
      </c>
      <c r="K903">
        <v>1</v>
      </c>
      <c r="L903" t="s">
        <v>21</v>
      </c>
      <c r="M903" t="s">
        <v>22</v>
      </c>
      <c r="N903" t="s">
        <v>31</v>
      </c>
    </row>
    <row r="904" spans="1:14" x14ac:dyDescent="0.3">
      <c r="A904" t="s">
        <v>14</v>
      </c>
      <c r="B904" t="s">
        <v>86</v>
      </c>
      <c r="C904" t="s">
        <v>228</v>
      </c>
      <c r="D904" t="s">
        <v>96</v>
      </c>
      <c r="E904" t="s">
        <v>51</v>
      </c>
      <c r="F904" t="s">
        <v>19</v>
      </c>
      <c r="G904">
        <v>98000</v>
      </c>
      <c r="H904" s="1">
        <v>44826</v>
      </c>
      <c r="I904">
        <v>2022</v>
      </c>
      <c r="J904" t="s">
        <v>46</v>
      </c>
      <c r="K904">
        <v>9</v>
      </c>
      <c r="L904" t="s">
        <v>21</v>
      </c>
      <c r="M904" t="s">
        <v>22</v>
      </c>
      <c r="N904" t="s">
        <v>47</v>
      </c>
    </row>
    <row r="905" spans="1:14" x14ac:dyDescent="0.3">
      <c r="A905" t="s">
        <v>442</v>
      </c>
      <c r="B905" t="s">
        <v>68</v>
      </c>
      <c r="C905" t="s">
        <v>324</v>
      </c>
      <c r="D905" t="s">
        <v>34</v>
      </c>
      <c r="E905" t="s">
        <v>242</v>
      </c>
      <c r="F905" t="s">
        <v>98</v>
      </c>
      <c r="G905">
        <v>382861000</v>
      </c>
      <c r="H905" s="1">
        <v>44272</v>
      </c>
      <c r="I905">
        <v>2021</v>
      </c>
      <c r="J905" t="s">
        <v>37</v>
      </c>
      <c r="K905">
        <v>3</v>
      </c>
      <c r="L905" t="s">
        <v>65</v>
      </c>
      <c r="M905" t="s">
        <v>66</v>
      </c>
      <c r="N905" t="s">
        <v>31</v>
      </c>
    </row>
    <row r="906" spans="1:14" x14ac:dyDescent="0.3">
      <c r="A906" t="s">
        <v>661</v>
      </c>
      <c r="B906" t="s">
        <v>32</v>
      </c>
      <c r="C906" t="s">
        <v>138</v>
      </c>
      <c r="D906" t="s">
        <v>17</v>
      </c>
      <c r="E906" t="s">
        <v>192</v>
      </c>
      <c r="F906" t="s">
        <v>64</v>
      </c>
      <c r="G906">
        <v>152047000</v>
      </c>
      <c r="H906" s="1">
        <v>44686</v>
      </c>
      <c r="I906">
        <v>2022</v>
      </c>
      <c r="J906" t="s">
        <v>77</v>
      </c>
      <c r="K906">
        <v>5</v>
      </c>
      <c r="L906" t="s">
        <v>65</v>
      </c>
      <c r="M906" t="s">
        <v>66</v>
      </c>
      <c r="N906" t="s">
        <v>40</v>
      </c>
    </row>
    <row r="907" spans="1:14" x14ac:dyDescent="0.3">
      <c r="A907" t="s">
        <v>184</v>
      </c>
      <c r="B907" t="s">
        <v>42</v>
      </c>
      <c r="C907" t="s">
        <v>205</v>
      </c>
      <c r="D907" t="s">
        <v>75</v>
      </c>
      <c r="E907" t="s">
        <v>434</v>
      </c>
      <c r="F907" t="s">
        <v>19</v>
      </c>
      <c r="G907">
        <v>1346000</v>
      </c>
      <c r="H907" s="1">
        <v>44114</v>
      </c>
      <c r="I907">
        <v>2020</v>
      </c>
      <c r="J907" t="s">
        <v>89</v>
      </c>
      <c r="K907">
        <v>10</v>
      </c>
      <c r="L907" t="s">
        <v>21</v>
      </c>
      <c r="M907" t="s">
        <v>30</v>
      </c>
      <c r="N907" t="s">
        <v>47</v>
      </c>
    </row>
    <row r="908" spans="1:14" x14ac:dyDescent="0.3">
      <c r="A908" t="s">
        <v>277</v>
      </c>
      <c r="B908" t="s">
        <v>25</v>
      </c>
      <c r="C908" t="s">
        <v>168</v>
      </c>
      <c r="D908" t="s">
        <v>17</v>
      </c>
      <c r="E908" t="s">
        <v>662</v>
      </c>
      <c r="F908" t="s">
        <v>132</v>
      </c>
      <c r="G908">
        <v>182986000</v>
      </c>
      <c r="H908" s="1">
        <v>45191</v>
      </c>
      <c r="I908">
        <v>2023</v>
      </c>
      <c r="J908" t="s">
        <v>46</v>
      </c>
      <c r="K908">
        <v>9</v>
      </c>
      <c r="L908" t="s">
        <v>65</v>
      </c>
      <c r="M908" t="s">
        <v>66</v>
      </c>
      <c r="N908" t="s">
        <v>31</v>
      </c>
    </row>
    <row r="909" spans="1:14" x14ac:dyDescent="0.3">
      <c r="A909" t="s">
        <v>254</v>
      </c>
      <c r="B909" t="s">
        <v>81</v>
      </c>
      <c r="C909" t="s">
        <v>90</v>
      </c>
      <c r="D909" t="s">
        <v>34</v>
      </c>
      <c r="E909" t="s">
        <v>140</v>
      </c>
      <c r="F909" t="s">
        <v>36</v>
      </c>
      <c r="G909">
        <v>12899000</v>
      </c>
      <c r="H909" s="1">
        <v>45604</v>
      </c>
      <c r="I909">
        <v>2024</v>
      </c>
      <c r="J909" t="s">
        <v>72</v>
      </c>
      <c r="K909">
        <v>11</v>
      </c>
      <c r="L909" t="s">
        <v>38</v>
      </c>
      <c r="M909" t="s">
        <v>39</v>
      </c>
      <c r="N909" t="s">
        <v>84</v>
      </c>
    </row>
    <row r="910" spans="1:14" x14ac:dyDescent="0.3">
      <c r="A910" t="s">
        <v>237</v>
      </c>
      <c r="B910" t="s">
        <v>186</v>
      </c>
      <c r="C910" t="s">
        <v>149</v>
      </c>
      <c r="D910" t="s">
        <v>17</v>
      </c>
      <c r="E910" t="s">
        <v>663</v>
      </c>
      <c r="F910" t="s">
        <v>19</v>
      </c>
      <c r="G910">
        <v>130000</v>
      </c>
      <c r="H910" s="1">
        <v>45098</v>
      </c>
      <c r="I910">
        <v>2023</v>
      </c>
      <c r="J910" t="s">
        <v>141</v>
      </c>
      <c r="K910">
        <v>6</v>
      </c>
      <c r="L910" t="s">
        <v>21</v>
      </c>
      <c r="M910" t="s">
        <v>22</v>
      </c>
      <c r="N910" t="s">
        <v>31</v>
      </c>
    </row>
    <row r="911" spans="1:14" x14ac:dyDescent="0.3">
      <c r="A911" t="s">
        <v>304</v>
      </c>
      <c r="B911" t="s">
        <v>32</v>
      </c>
      <c r="C911" t="s">
        <v>33</v>
      </c>
      <c r="D911" t="s">
        <v>17</v>
      </c>
      <c r="E911" t="s">
        <v>61</v>
      </c>
      <c r="F911" t="s">
        <v>36</v>
      </c>
      <c r="G911">
        <v>14327000</v>
      </c>
      <c r="H911" s="1">
        <v>44920</v>
      </c>
      <c r="I911">
        <v>2022</v>
      </c>
      <c r="J911" t="s">
        <v>99</v>
      </c>
      <c r="K911">
        <v>12</v>
      </c>
      <c r="L911" t="s">
        <v>38</v>
      </c>
      <c r="M911" t="s">
        <v>39</v>
      </c>
      <c r="N911" t="s">
        <v>40</v>
      </c>
    </row>
    <row r="912" spans="1:14" x14ac:dyDescent="0.3">
      <c r="A912" t="s">
        <v>201</v>
      </c>
      <c r="B912" t="s">
        <v>15</v>
      </c>
      <c r="C912" t="s">
        <v>53</v>
      </c>
      <c r="D912" t="s">
        <v>17</v>
      </c>
      <c r="E912" t="s">
        <v>270</v>
      </c>
      <c r="F912" t="s">
        <v>132</v>
      </c>
      <c r="G912">
        <v>98917000</v>
      </c>
      <c r="H912" s="1">
        <v>45073</v>
      </c>
      <c r="I912">
        <v>2023</v>
      </c>
      <c r="J912" t="s">
        <v>77</v>
      </c>
      <c r="K912">
        <v>5</v>
      </c>
      <c r="L912" t="s">
        <v>65</v>
      </c>
      <c r="M912" t="s">
        <v>39</v>
      </c>
      <c r="N912" t="s">
        <v>23</v>
      </c>
    </row>
    <row r="913" spans="1:14" x14ac:dyDescent="0.3">
      <c r="A913" t="s">
        <v>292</v>
      </c>
      <c r="B913" t="s">
        <v>81</v>
      </c>
      <c r="C913" t="s">
        <v>319</v>
      </c>
      <c r="D913" t="s">
        <v>136</v>
      </c>
      <c r="E913" t="s">
        <v>652</v>
      </c>
      <c r="F913" t="s">
        <v>19</v>
      </c>
      <c r="G913">
        <v>134000</v>
      </c>
      <c r="H913" s="1">
        <v>43880</v>
      </c>
      <c r="I913">
        <v>2020</v>
      </c>
      <c r="J913" t="s">
        <v>108</v>
      </c>
      <c r="K913">
        <v>2</v>
      </c>
      <c r="L913" t="s">
        <v>21</v>
      </c>
      <c r="M913" t="s">
        <v>22</v>
      </c>
      <c r="N913" t="s">
        <v>84</v>
      </c>
    </row>
    <row r="914" spans="1:14" x14ac:dyDescent="0.3">
      <c r="A914" t="s">
        <v>191</v>
      </c>
      <c r="B914" t="s">
        <v>186</v>
      </c>
      <c r="C914" t="s">
        <v>149</v>
      </c>
      <c r="D914" t="s">
        <v>54</v>
      </c>
      <c r="E914" t="s">
        <v>293</v>
      </c>
      <c r="F914" t="s">
        <v>19</v>
      </c>
      <c r="G914">
        <v>500000</v>
      </c>
      <c r="H914" s="1">
        <v>44205</v>
      </c>
      <c r="I914">
        <v>2021</v>
      </c>
      <c r="J914" t="s">
        <v>29</v>
      </c>
      <c r="K914">
        <v>1</v>
      </c>
      <c r="L914" t="s">
        <v>21</v>
      </c>
      <c r="M914" t="s">
        <v>22</v>
      </c>
      <c r="N914" t="s">
        <v>31</v>
      </c>
    </row>
    <row r="915" spans="1:14" x14ac:dyDescent="0.3">
      <c r="A915" t="s">
        <v>73</v>
      </c>
      <c r="B915" t="s">
        <v>68</v>
      </c>
      <c r="C915" t="s">
        <v>149</v>
      </c>
      <c r="D915" t="s">
        <v>54</v>
      </c>
      <c r="E915" t="s">
        <v>63</v>
      </c>
      <c r="F915" t="s">
        <v>19</v>
      </c>
      <c r="G915">
        <v>226000</v>
      </c>
      <c r="H915" s="1">
        <v>45799</v>
      </c>
      <c r="I915">
        <v>2025</v>
      </c>
      <c r="J915" t="s">
        <v>77</v>
      </c>
      <c r="K915">
        <v>5</v>
      </c>
      <c r="L915" t="s">
        <v>21</v>
      </c>
      <c r="M915" t="s">
        <v>22</v>
      </c>
      <c r="N915" t="s">
        <v>31</v>
      </c>
    </row>
    <row r="916" spans="1:14" x14ac:dyDescent="0.3">
      <c r="A916" t="s">
        <v>376</v>
      </c>
      <c r="B916" t="s">
        <v>186</v>
      </c>
      <c r="C916" t="s">
        <v>341</v>
      </c>
      <c r="D916" t="s">
        <v>54</v>
      </c>
      <c r="E916" t="s">
        <v>97</v>
      </c>
      <c r="F916" t="s">
        <v>56</v>
      </c>
      <c r="G916">
        <v>356000</v>
      </c>
      <c r="H916" s="1">
        <v>44494</v>
      </c>
      <c r="I916">
        <v>2021</v>
      </c>
      <c r="J916" t="s">
        <v>89</v>
      </c>
      <c r="K916">
        <v>10</v>
      </c>
      <c r="L916" t="s">
        <v>38</v>
      </c>
      <c r="M916" t="s">
        <v>22</v>
      </c>
      <c r="N916" t="s">
        <v>31</v>
      </c>
    </row>
    <row r="917" spans="1:14" x14ac:dyDescent="0.3">
      <c r="A917" t="s">
        <v>14</v>
      </c>
      <c r="B917" t="s">
        <v>81</v>
      </c>
      <c r="C917" t="s">
        <v>130</v>
      </c>
      <c r="D917" t="s">
        <v>44</v>
      </c>
      <c r="E917" t="s">
        <v>226</v>
      </c>
      <c r="F917" t="s">
        <v>132</v>
      </c>
      <c r="G917">
        <v>65156000</v>
      </c>
      <c r="H917" s="1">
        <v>45031</v>
      </c>
      <c r="I917">
        <v>2023</v>
      </c>
      <c r="J917" t="s">
        <v>20</v>
      </c>
      <c r="K917">
        <v>4</v>
      </c>
      <c r="L917" t="s">
        <v>65</v>
      </c>
      <c r="M917" t="s">
        <v>39</v>
      </c>
      <c r="N917" t="s">
        <v>84</v>
      </c>
    </row>
    <row r="918" spans="1:14" x14ac:dyDescent="0.3">
      <c r="A918" t="s">
        <v>93</v>
      </c>
      <c r="B918" t="s">
        <v>68</v>
      </c>
      <c r="C918" t="s">
        <v>324</v>
      </c>
      <c r="D918" t="s">
        <v>34</v>
      </c>
      <c r="E918" t="s">
        <v>343</v>
      </c>
      <c r="F918" t="s">
        <v>19</v>
      </c>
      <c r="G918">
        <v>148000</v>
      </c>
      <c r="H918" s="1">
        <v>44782</v>
      </c>
      <c r="I918">
        <v>2022</v>
      </c>
      <c r="J918" t="s">
        <v>153</v>
      </c>
      <c r="K918">
        <v>8</v>
      </c>
      <c r="L918" t="s">
        <v>21</v>
      </c>
      <c r="M918" t="s">
        <v>22</v>
      </c>
      <c r="N918" t="s">
        <v>31</v>
      </c>
    </row>
    <row r="919" spans="1:14" x14ac:dyDescent="0.3">
      <c r="A919" t="s">
        <v>125</v>
      </c>
      <c r="B919" t="s">
        <v>49</v>
      </c>
      <c r="C919" t="s">
        <v>135</v>
      </c>
      <c r="D919" t="s">
        <v>27</v>
      </c>
      <c r="E919" t="s">
        <v>664</v>
      </c>
      <c r="F919" t="s">
        <v>19</v>
      </c>
      <c r="G919">
        <v>1654000</v>
      </c>
      <c r="H919" s="1">
        <v>45804</v>
      </c>
      <c r="I919">
        <v>2025</v>
      </c>
      <c r="J919" t="s">
        <v>77</v>
      </c>
      <c r="K919">
        <v>5</v>
      </c>
      <c r="L919" t="s">
        <v>21</v>
      </c>
      <c r="M919" t="s">
        <v>30</v>
      </c>
      <c r="N919" t="s">
        <v>40</v>
      </c>
    </row>
    <row r="920" spans="1:14" x14ac:dyDescent="0.3">
      <c r="A920" t="s">
        <v>180</v>
      </c>
      <c r="B920" t="s">
        <v>68</v>
      </c>
      <c r="C920" t="s">
        <v>69</v>
      </c>
      <c r="D920" t="s">
        <v>17</v>
      </c>
      <c r="E920" t="s">
        <v>51</v>
      </c>
      <c r="F920" t="s">
        <v>175</v>
      </c>
      <c r="G920">
        <v>290119000</v>
      </c>
      <c r="H920" s="1">
        <v>44855</v>
      </c>
      <c r="I920">
        <v>2022</v>
      </c>
      <c r="J920" t="s">
        <v>89</v>
      </c>
      <c r="K920">
        <v>10</v>
      </c>
      <c r="L920" t="s">
        <v>65</v>
      </c>
      <c r="M920" t="s">
        <v>66</v>
      </c>
      <c r="N920" t="s">
        <v>31</v>
      </c>
    </row>
    <row r="921" spans="1:14" x14ac:dyDescent="0.3">
      <c r="A921" t="s">
        <v>442</v>
      </c>
      <c r="B921" t="s">
        <v>105</v>
      </c>
      <c r="C921" t="s">
        <v>345</v>
      </c>
      <c r="D921" t="s">
        <v>111</v>
      </c>
      <c r="E921" t="s">
        <v>557</v>
      </c>
      <c r="F921" t="s">
        <v>188</v>
      </c>
      <c r="G921">
        <v>84000</v>
      </c>
      <c r="H921" s="1">
        <v>45799</v>
      </c>
      <c r="I921">
        <v>2025</v>
      </c>
      <c r="J921" t="s">
        <v>77</v>
      </c>
      <c r="K921">
        <v>5</v>
      </c>
      <c r="L921" t="s">
        <v>38</v>
      </c>
      <c r="M921" t="s">
        <v>22</v>
      </c>
      <c r="N921" t="s">
        <v>23</v>
      </c>
    </row>
    <row r="922" spans="1:14" x14ac:dyDescent="0.3">
      <c r="A922" t="s">
        <v>328</v>
      </c>
      <c r="B922" t="s">
        <v>126</v>
      </c>
      <c r="C922" t="s">
        <v>265</v>
      </c>
      <c r="D922" t="s">
        <v>54</v>
      </c>
      <c r="E922" t="s">
        <v>218</v>
      </c>
      <c r="F922" t="s">
        <v>117</v>
      </c>
      <c r="G922">
        <v>148000</v>
      </c>
      <c r="H922" s="1">
        <v>45742</v>
      </c>
      <c r="I922">
        <v>2025</v>
      </c>
      <c r="J922" t="s">
        <v>37</v>
      </c>
      <c r="K922">
        <v>3</v>
      </c>
      <c r="L922" t="s">
        <v>21</v>
      </c>
      <c r="M922" t="s">
        <v>22</v>
      </c>
      <c r="N922" t="s">
        <v>40</v>
      </c>
    </row>
    <row r="923" spans="1:14" x14ac:dyDescent="0.3">
      <c r="A923" t="s">
        <v>214</v>
      </c>
      <c r="B923" t="s">
        <v>114</v>
      </c>
      <c r="C923" t="s">
        <v>243</v>
      </c>
      <c r="D923" t="s">
        <v>44</v>
      </c>
      <c r="E923" t="s">
        <v>121</v>
      </c>
      <c r="F923" t="s">
        <v>103</v>
      </c>
      <c r="G923">
        <v>3743000</v>
      </c>
      <c r="H923" s="1">
        <v>44876</v>
      </c>
      <c r="I923">
        <v>2022</v>
      </c>
      <c r="J923" t="s">
        <v>72</v>
      </c>
      <c r="K923">
        <v>11</v>
      </c>
      <c r="L923" t="s">
        <v>38</v>
      </c>
      <c r="M923" t="s">
        <v>30</v>
      </c>
      <c r="N923" t="s">
        <v>47</v>
      </c>
    </row>
    <row r="924" spans="1:14" x14ac:dyDescent="0.3">
      <c r="A924" t="s">
        <v>241</v>
      </c>
      <c r="B924" t="s">
        <v>94</v>
      </c>
      <c r="C924" t="s">
        <v>95</v>
      </c>
      <c r="D924" t="s">
        <v>136</v>
      </c>
      <c r="E924" t="s">
        <v>140</v>
      </c>
      <c r="F924" t="s">
        <v>36</v>
      </c>
      <c r="G924">
        <v>59720000</v>
      </c>
      <c r="H924" s="1">
        <v>45531</v>
      </c>
      <c r="I924">
        <v>2024</v>
      </c>
      <c r="J924" t="s">
        <v>153</v>
      </c>
      <c r="K924">
        <v>8</v>
      </c>
      <c r="L924" t="s">
        <v>38</v>
      </c>
      <c r="M924" t="s">
        <v>39</v>
      </c>
      <c r="N924" t="s">
        <v>40</v>
      </c>
    </row>
    <row r="925" spans="1:14" x14ac:dyDescent="0.3">
      <c r="A925" t="s">
        <v>137</v>
      </c>
      <c r="B925" t="s">
        <v>15</v>
      </c>
      <c r="C925" t="s">
        <v>110</v>
      </c>
      <c r="D925" t="s">
        <v>96</v>
      </c>
      <c r="E925" t="s">
        <v>665</v>
      </c>
      <c r="F925" t="s">
        <v>36</v>
      </c>
      <c r="G925">
        <v>45929000</v>
      </c>
      <c r="H925" s="1">
        <v>45837</v>
      </c>
      <c r="I925">
        <v>2025</v>
      </c>
      <c r="J925" t="s">
        <v>141</v>
      </c>
      <c r="K925">
        <v>6</v>
      </c>
      <c r="L925" t="s">
        <v>38</v>
      </c>
      <c r="M925" t="s">
        <v>39</v>
      </c>
      <c r="N925" t="s">
        <v>23</v>
      </c>
    </row>
    <row r="926" spans="1:14" x14ac:dyDescent="0.3">
      <c r="A926" t="s">
        <v>305</v>
      </c>
      <c r="B926" t="s">
        <v>126</v>
      </c>
      <c r="C926" t="s">
        <v>265</v>
      </c>
      <c r="D926" t="s">
        <v>27</v>
      </c>
      <c r="E926" t="s">
        <v>666</v>
      </c>
      <c r="F926" t="s">
        <v>128</v>
      </c>
      <c r="G926">
        <v>18000</v>
      </c>
      <c r="H926" s="1">
        <v>44104</v>
      </c>
      <c r="I926">
        <v>2020</v>
      </c>
      <c r="J926" t="s">
        <v>46</v>
      </c>
      <c r="K926">
        <v>9</v>
      </c>
      <c r="L926" t="s">
        <v>21</v>
      </c>
      <c r="M926" t="s">
        <v>22</v>
      </c>
      <c r="N926" t="s">
        <v>40</v>
      </c>
    </row>
    <row r="927" spans="1:14" x14ac:dyDescent="0.3">
      <c r="A927" t="s">
        <v>466</v>
      </c>
      <c r="B927" t="s">
        <v>68</v>
      </c>
      <c r="C927" t="s">
        <v>149</v>
      </c>
      <c r="D927" t="s">
        <v>70</v>
      </c>
      <c r="E927" t="s">
        <v>51</v>
      </c>
      <c r="F927" t="s">
        <v>132</v>
      </c>
      <c r="G927">
        <v>21255000</v>
      </c>
      <c r="H927" s="1">
        <v>44933</v>
      </c>
      <c r="I927">
        <v>2023</v>
      </c>
      <c r="J927" t="s">
        <v>29</v>
      </c>
      <c r="K927">
        <v>1</v>
      </c>
      <c r="L927" t="s">
        <v>65</v>
      </c>
      <c r="M927" t="s">
        <v>39</v>
      </c>
      <c r="N927" t="s">
        <v>31</v>
      </c>
    </row>
    <row r="928" spans="1:14" x14ac:dyDescent="0.3">
      <c r="A928" t="s">
        <v>167</v>
      </c>
      <c r="B928" t="s">
        <v>32</v>
      </c>
      <c r="C928" t="s">
        <v>33</v>
      </c>
      <c r="D928" t="s">
        <v>70</v>
      </c>
      <c r="E928" t="s">
        <v>133</v>
      </c>
      <c r="F928" t="s">
        <v>36</v>
      </c>
      <c r="G928">
        <v>10531000</v>
      </c>
      <c r="H928" s="1">
        <v>44553</v>
      </c>
      <c r="I928">
        <v>2021</v>
      </c>
      <c r="J928" t="s">
        <v>99</v>
      </c>
      <c r="K928">
        <v>12</v>
      </c>
      <c r="L928" t="s">
        <v>38</v>
      </c>
      <c r="M928" t="s">
        <v>39</v>
      </c>
      <c r="N928" t="s">
        <v>40</v>
      </c>
    </row>
    <row r="929" spans="1:14" x14ac:dyDescent="0.3">
      <c r="A929" t="s">
        <v>129</v>
      </c>
      <c r="B929" t="s">
        <v>59</v>
      </c>
      <c r="C929" t="s">
        <v>60</v>
      </c>
      <c r="D929" t="s">
        <v>27</v>
      </c>
      <c r="E929" t="s">
        <v>183</v>
      </c>
      <c r="F929" t="s">
        <v>19</v>
      </c>
      <c r="G929">
        <v>369000</v>
      </c>
      <c r="H929" s="1">
        <v>44589</v>
      </c>
      <c r="I929">
        <v>2022</v>
      </c>
      <c r="J929" t="s">
        <v>29</v>
      </c>
      <c r="K929">
        <v>1</v>
      </c>
      <c r="L929" t="s">
        <v>21</v>
      </c>
      <c r="M929" t="s">
        <v>22</v>
      </c>
      <c r="N929" t="s">
        <v>31</v>
      </c>
    </row>
    <row r="930" spans="1:14" x14ac:dyDescent="0.3">
      <c r="A930" t="s">
        <v>297</v>
      </c>
      <c r="B930" t="s">
        <v>59</v>
      </c>
      <c r="C930" t="s">
        <v>149</v>
      </c>
      <c r="D930" t="s">
        <v>96</v>
      </c>
      <c r="E930" t="s">
        <v>667</v>
      </c>
      <c r="F930" t="s">
        <v>19</v>
      </c>
      <c r="G930">
        <v>517000</v>
      </c>
      <c r="H930" s="1">
        <v>45502</v>
      </c>
      <c r="I930">
        <v>2024</v>
      </c>
      <c r="J930" t="s">
        <v>57</v>
      </c>
      <c r="K930">
        <v>7</v>
      </c>
      <c r="L930" t="s">
        <v>21</v>
      </c>
      <c r="M930" t="s">
        <v>22</v>
      </c>
      <c r="N930" t="s">
        <v>31</v>
      </c>
    </row>
    <row r="931" spans="1:14" x14ac:dyDescent="0.3">
      <c r="A931" t="s">
        <v>297</v>
      </c>
      <c r="B931" t="s">
        <v>42</v>
      </c>
      <c r="C931" t="s">
        <v>43</v>
      </c>
      <c r="D931" t="s">
        <v>27</v>
      </c>
      <c r="E931" t="s">
        <v>160</v>
      </c>
      <c r="F931" t="s">
        <v>19</v>
      </c>
      <c r="G931">
        <v>129000</v>
      </c>
      <c r="H931" s="1">
        <v>45683</v>
      </c>
      <c r="I931">
        <v>2025</v>
      </c>
      <c r="J931" t="s">
        <v>29</v>
      </c>
      <c r="K931">
        <v>1</v>
      </c>
      <c r="L931" t="s">
        <v>21</v>
      </c>
      <c r="M931" t="s">
        <v>22</v>
      </c>
      <c r="N931" t="s">
        <v>47</v>
      </c>
    </row>
    <row r="932" spans="1:14" x14ac:dyDescent="0.3">
      <c r="A932" t="s">
        <v>254</v>
      </c>
      <c r="B932" t="s">
        <v>94</v>
      </c>
      <c r="C932" t="s">
        <v>146</v>
      </c>
      <c r="D932" t="s">
        <v>111</v>
      </c>
      <c r="E932" t="s">
        <v>315</v>
      </c>
      <c r="F932" t="s">
        <v>103</v>
      </c>
      <c r="G932">
        <v>1458000</v>
      </c>
      <c r="H932" s="1">
        <v>44961</v>
      </c>
      <c r="I932">
        <v>2023</v>
      </c>
      <c r="J932" t="s">
        <v>108</v>
      </c>
      <c r="K932">
        <v>2</v>
      </c>
      <c r="L932" t="s">
        <v>38</v>
      </c>
      <c r="M932" t="s">
        <v>30</v>
      </c>
      <c r="N932" t="s">
        <v>40</v>
      </c>
    </row>
    <row r="933" spans="1:14" x14ac:dyDescent="0.3">
      <c r="A933" t="s">
        <v>370</v>
      </c>
      <c r="B933" t="s">
        <v>186</v>
      </c>
      <c r="C933" t="s">
        <v>149</v>
      </c>
      <c r="D933" t="s">
        <v>54</v>
      </c>
      <c r="E933" t="s">
        <v>234</v>
      </c>
      <c r="F933" t="s">
        <v>36</v>
      </c>
      <c r="G933">
        <v>50620000</v>
      </c>
      <c r="H933" s="1">
        <v>44091</v>
      </c>
      <c r="I933">
        <v>2020</v>
      </c>
      <c r="J933" t="s">
        <v>46</v>
      </c>
      <c r="K933">
        <v>9</v>
      </c>
      <c r="L933" t="s">
        <v>38</v>
      </c>
      <c r="M933" t="s">
        <v>39</v>
      </c>
      <c r="N933" t="s">
        <v>31</v>
      </c>
    </row>
    <row r="934" spans="1:14" x14ac:dyDescent="0.3">
      <c r="A934" t="s">
        <v>134</v>
      </c>
      <c r="B934" t="s">
        <v>25</v>
      </c>
      <c r="C934" t="s">
        <v>168</v>
      </c>
      <c r="D934" t="s">
        <v>44</v>
      </c>
      <c r="E934" t="s">
        <v>668</v>
      </c>
      <c r="F934" t="s">
        <v>175</v>
      </c>
      <c r="G934">
        <v>482361000</v>
      </c>
      <c r="H934" s="1">
        <v>43878</v>
      </c>
      <c r="I934">
        <v>2020</v>
      </c>
      <c r="J934" t="s">
        <v>108</v>
      </c>
      <c r="K934">
        <v>2</v>
      </c>
      <c r="L934" t="s">
        <v>65</v>
      </c>
      <c r="M934" t="s">
        <v>66</v>
      </c>
      <c r="N934" t="s">
        <v>31</v>
      </c>
    </row>
    <row r="935" spans="1:14" x14ac:dyDescent="0.3">
      <c r="A935" t="s">
        <v>669</v>
      </c>
      <c r="B935" t="s">
        <v>68</v>
      </c>
      <c r="C935" t="s">
        <v>149</v>
      </c>
      <c r="D935" t="s">
        <v>27</v>
      </c>
      <c r="E935" t="s">
        <v>670</v>
      </c>
      <c r="F935" t="s">
        <v>175</v>
      </c>
      <c r="G935">
        <v>167749000</v>
      </c>
      <c r="H935" s="1">
        <v>44492</v>
      </c>
      <c r="I935">
        <v>2021</v>
      </c>
      <c r="J935" t="s">
        <v>89</v>
      </c>
      <c r="K935">
        <v>10</v>
      </c>
      <c r="L935" t="s">
        <v>65</v>
      </c>
      <c r="M935" t="s">
        <v>66</v>
      </c>
      <c r="N935" t="s">
        <v>31</v>
      </c>
    </row>
    <row r="936" spans="1:14" x14ac:dyDescent="0.3">
      <c r="A936" t="s">
        <v>145</v>
      </c>
      <c r="B936" t="s">
        <v>42</v>
      </c>
      <c r="C936" t="s">
        <v>43</v>
      </c>
      <c r="D936" t="s">
        <v>96</v>
      </c>
      <c r="E936" t="s">
        <v>671</v>
      </c>
      <c r="F936" t="s">
        <v>103</v>
      </c>
      <c r="G936">
        <v>1592000</v>
      </c>
      <c r="H936" s="1">
        <v>43920</v>
      </c>
      <c r="I936">
        <v>2020</v>
      </c>
      <c r="J936" t="s">
        <v>37</v>
      </c>
      <c r="K936">
        <v>3</v>
      </c>
      <c r="L936" t="s">
        <v>38</v>
      </c>
      <c r="M936" t="s">
        <v>30</v>
      </c>
      <c r="N936" t="s">
        <v>47</v>
      </c>
    </row>
    <row r="937" spans="1:14" x14ac:dyDescent="0.3">
      <c r="A937" t="s">
        <v>277</v>
      </c>
      <c r="B937" t="s">
        <v>68</v>
      </c>
      <c r="C937" t="s">
        <v>324</v>
      </c>
      <c r="D937" t="s">
        <v>96</v>
      </c>
      <c r="E937" t="s">
        <v>61</v>
      </c>
      <c r="F937" t="s">
        <v>19</v>
      </c>
      <c r="G937">
        <v>137000</v>
      </c>
      <c r="H937" s="1">
        <v>45002</v>
      </c>
      <c r="I937">
        <v>2023</v>
      </c>
      <c r="J937" t="s">
        <v>37</v>
      </c>
      <c r="K937">
        <v>3</v>
      </c>
      <c r="L937" t="s">
        <v>21</v>
      </c>
      <c r="M937" t="s">
        <v>22</v>
      </c>
      <c r="N937" t="s">
        <v>31</v>
      </c>
    </row>
    <row r="938" spans="1:14" x14ac:dyDescent="0.3">
      <c r="A938" t="s">
        <v>366</v>
      </c>
      <c r="B938" t="s">
        <v>25</v>
      </c>
      <c r="C938" t="s">
        <v>168</v>
      </c>
      <c r="D938" t="s">
        <v>17</v>
      </c>
      <c r="E938" t="s">
        <v>301</v>
      </c>
      <c r="F938" t="s">
        <v>128</v>
      </c>
      <c r="G938">
        <v>5000</v>
      </c>
      <c r="H938" s="1">
        <v>44234</v>
      </c>
      <c r="I938">
        <v>2021</v>
      </c>
      <c r="J938" t="s">
        <v>108</v>
      </c>
      <c r="K938">
        <v>2</v>
      </c>
      <c r="L938" t="s">
        <v>21</v>
      </c>
      <c r="M938" t="s">
        <v>22</v>
      </c>
      <c r="N938" t="s">
        <v>31</v>
      </c>
    </row>
    <row r="939" spans="1:14" x14ac:dyDescent="0.3">
      <c r="A939" t="s">
        <v>413</v>
      </c>
      <c r="B939" t="s">
        <v>49</v>
      </c>
      <c r="C939" t="s">
        <v>50</v>
      </c>
      <c r="D939" t="s">
        <v>17</v>
      </c>
      <c r="E939" t="s">
        <v>258</v>
      </c>
      <c r="F939" t="s">
        <v>117</v>
      </c>
      <c r="G939">
        <v>164000</v>
      </c>
      <c r="H939" s="1">
        <v>44715</v>
      </c>
      <c r="I939">
        <v>2022</v>
      </c>
      <c r="J939" t="s">
        <v>141</v>
      </c>
      <c r="K939">
        <v>6</v>
      </c>
      <c r="L939" t="s">
        <v>21</v>
      </c>
      <c r="M939" t="s">
        <v>22</v>
      </c>
      <c r="N939" t="s">
        <v>40</v>
      </c>
    </row>
    <row r="940" spans="1:14" x14ac:dyDescent="0.3">
      <c r="A940" t="s">
        <v>354</v>
      </c>
      <c r="B940" t="s">
        <v>15</v>
      </c>
      <c r="C940" t="s">
        <v>74</v>
      </c>
      <c r="D940" t="s">
        <v>70</v>
      </c>
      <c r="E940" t="s">
        <v>242</v>
      </c>
      <c r="F940" t="s">
        <v>19</v>
      </c>
      <c r="G940">
        <v>77000</v>
      </c>
      <c r="H940" s="1">
        <v>44528</v>
      </c>
      <c r="I940">
        <v>2021</v>
      </c>
      <c r="J940" t="s">
        <v>72</v>
      </c>
      <c r="K940">
        <v>11</v>
      </c>
      <c r="L940" t="s">
        <v>21</v>
      </c>
      <c r="M940" t="s">
        <v>22</v>
      </c>
      <c r="N940" t="s">
        <v>23</v>
      </c>
    </row>
    <row r="941" spans="1:14" x14ac:dyDescent="0.3">
      <c r="A941" t="s">
        <v>62</v>
      </c>
      <c r="B941" t="s">
        <v>59</v>
      </c>
      <c r="C941" t="s">
        <v>60</v>
      </c>
      <c r="D941" t="s">
        <v>75</v>
      </c>
      <c r="E941" t="s">
        <v>672</v>
      </c>
      <c r="F941" t="s">
        <v>103</v>
      </c>
      <c r="G941">
        <v>4765000</v>
      </c>
      <c r="H941" s="1">
        <v>44026</v>
      </c>
      <c r="I941">
        <v>2020</v>
      </c>
      <c r="J941" t="s">
        <v>57</v>
      </c>
      <c r="K941">
        <v>7</v>
      </c>
      <c r="L941" t="s">
        <v>38</v>
      </c>
      <c r="M941" t="s">
        <v>30</v>
      </c>
      <c r="N941" t="s">
        <v>31</v>
      </c>
    </row>
    <row r="942" spans="1:14" x14ac:dyDescent="0.3">
      <c r="A942" t="s">
        <v>393</v>
      </c>
      <c r="B942" t="s">
        <v>114</v>
      </c>
      <c r="C942" t="s">
        <v>243</v>
      </c>
      <c r="D942" t="s">
        <v>17</v>
      </c>
      <c r="E942" t="s">
        <v>673</v>
      </c>
      <c r="F942" t="s">
        <v>132</v>
      </c>
      <c r="G942">
        <v>42009000</v>
      </c>
      <c r="H942" s="1">
        <v>43957</v>
      </c>
      <c r="I942">
        <v>2020</v>
      </c>
      <c r="J942" t="s">
        <v>77</v>
      </c>
      <c r="K942">
        <v>5</v>
      </c>
      <c r="L942" t="s">
        <v>65</v>
      </c>
      <c r="M942" t="s">
        <v>39</v>
      </c>
      <c r="N942" t="s">
        <v>47</v>
      </c>
    </row>
    <row r="943" spans="1:14" x14ac:dyDescent="0.3">
      <c r="A943" t="s">
        <v>408</v>
      </c>
      <c r="B943" t="s">
        <v>186</v>
      </c>
      <c r="C943" t="s">
        <v>187</v>
      </c>
      <c r="D943" t="s">
        <v>27</v>
      </c>
      <c r="E943" t="s">
        <v>571</v>
      </c>
      <c r="F943" t="s">
        <v>103</v>
      </c>
      <c r="G943">
        <v>4485000</v>
      </c>
      <c r="H943" s="1">
        <v>44434</v>
      </c>
      <c r="I943">
        <v>2021</v>
      </c>
      <c r="J943" t="s">
        <v>153</v>
      </c>
      <c r="K943">
        <v>8</v>
      </c>
      <c r="L943" t="s">
        <v>38</v>
      </c>
      <c r="M943" t="s">
        <v>30</v>
      </c>
      <c r="N943" t="s">
        <v>31</v>
      </c>
    </row>
    <row r="944" spans="1:14" x14ac:dyDescent="0.3">
      <c r="A944" t="s">
        <v>360</v>
      </c>
      <c r="B944" t="s">
        <v>15</v>
      </c>
      <c r="C944" t="s">
        <v>74</v>
      </c>
      <c r="D944" t="s">
        <v>70</v>
      </c>
      <c r="E944" t="s">
        <v>252</v>
      </c>
      <c r="F944" t="s">
        <v>56</v>
      </c>
      <c r="G944">
        <v>448000</v>
      </c>
      <c r="H944" s="1">
        <v>45459</v>
      </c>
      <c r="I944">
        <v>2024</v>
      </c>
      <c r="J944" t="s">
        <v>141</v>
      </c>
      <c r="K944">
        <v>6</v>
      </c>
      <c r="L944" t="s">
        <v>38</v>
      </c>
      <c r="M944" t="s">
        <v>22</v>
      </c>
      <c r="N944" t="s">
        <v>23</v>
      </c>
    </row>
    <row r="945" spans="1:14" x14ac:dyDescent="0.3">
      <c r="A945" t="s">
        <v>184</v>
      </c>
      <c r="B945" t="s">
        <v>49</v>
      </c>
      <c r="C945" t="s">
        <v>135</v>
      </c>
      <c r="D945" t="s">
        <v>70</v>
      </c>
      <c r="E945" t="s">
        <v>112</v>
      </c>
      <c r="F945" t="s">
        <v>103</v>
      </c>
      <c r="G945">
        <v>9459000</v>
      </c>
      <c r="H945" s="1">
        <v>45034</v>
      </c>
      <c r="I945">
        <v>2023</v>
      </c>
      <c r="J945" t="s">
        <v>20</v>
      </c>
      <c r="K945">
        <v>4</v>
      </c>
      <c r="L945" t="s">
        <v>38</v>
      </c>
      <c r="M945" t="s">
        <v>30</v>
      </c>
      <c r="N945" t="s">
        <v>40</v>
      </c>
    </row>
    <row r="946" spans="1:14" x14ac:dyDescent="0.3">
      <c r="A946" t="s">
        <v>438</v>
      </c>
      <c r="B946" t="s">
        <v>186</v>
      </c>
      <c r="C946" t="s">
        <v>149</v>
      </c>
      <c r="D946" t="s">
        <v>44</v>
      </c>
      <c r="E946" t="s">
        <v>674</v>
      </c>
      <c r="F946" t="s">
        <v>128</v>
      </c>
      <c r="G946">
        <v>9000</v>
      </c>
      <c r="H946" s="1">
        <v>44089</v>
      </c>
      <c r="I946">
        <v>2020</v>
      </c>
      <c r="J946" t="s">
        <v>46</v>
      </c>
      <c r="K946">
        <v>9</v>
      </c>
      <c r="L946" t="s">
        <v>21</v>
      </c>
      <c r="M946" t="s">
        <v>22</v>
      </c>
      <c r="N946" t="s">
        <v>31</v>
      </c>
    </row>
    <row r="947" spans="1:14" x14ac:dyDescent="0.3">
      <c r="A947" t="s">
        <v>58</v>
      </c>
      <c r="B947" t="s">
        <v>105</v>
      </c>
      <c r="C947" t="s">
        <v>345</v>
      </c>
      <c r="D947" t="s">
        <v>54</v>
      </c>
      <c r="E947" t="s">
        <v>301</v>
      </c>
      <c r="F947" t="s">
        <v>132</v>
      </c>
      <c r="G947">
        <v>20605000</v>
      </c>
      <c r="H947" s="1">
        <v>43954</v>
      </c>
      <c r="I947">
        <v>2020</v>
      </c>
      <c r="J947" t="s">
        <v>77</v>
      </c>
      <c r="K947">
        <v>5</v>
      </c>
      <c r="L947" t="s">
        <v>65</v>
      </c>
      <c r="M947" t="s">
        <v>39</v>
      </c>
      <c r="N947" t="s">
        <v>23</v>
      </c>
    </row>
    <row r="948" spans="1:14" x14ac:dyDescent="0.3">
      <c r="A948" t="s">
        <v>455</v>
      </c>
      <c r="B948" t="s">
        <v>49</v>
      </c>
      <c r="C948" t="s">
        <v>225</v>
      </c>
      <c r="D948" t="s">
        <v>34</v>
      </c>
      <c r="E948" t="s">
        <v>231</v>
      </c>
      <c r="F948" t="s">
        <v>103</v>
      </c>
      <c r="G948">
        <v>1449000</v>
      </c>
      <c r="H948" s="1">
        <v>44939</v>
      </c>
      <c r="I948">
        <v>2023</v>
      </c>
      <c r="J948" t="s">
        <v>29</v>
      </c>
      <c r="K948">
        <v>1</v>
      </c>
      <c r="L948" t="s">
        <v>38</v>
      </c>
      <c r="M948" t="s">
        <v>30</v>
      </c>
      <c r="N948" t="s">
        <v>40</v>
      </c>
    </row>
    <row r="949" spans="1:14" x14ac:dyDescent="0.3">
      <c r="A949" t="s">
        <v>237</v>
      </c>
      <c r="B949" t="s">
        <v>94</v>
      </c>
      <c r="C949" t="s">
        <v>159</v>
      </c>
      <c r="D949" t="s">
        <v>27</v>
      </c>
      <c r="E949" t="s">
        <v>675</v>
      </c>
      <c r="F949" t="s">
        <v>103</v>
      </c>
      <c r="G949">
        <v>11442000</v>
      </c>
      <c r="H949" s="1">
        <v>45177</v>
      </c>
      <c r="I949">
        <v>2023</v>
      </c>
      <c r="J949" t="s">
        <v>46</v>
      </c>
      <c r="K949">
        <v>9</v>
      </c>
      <c r="L949" t="s">
        <v>38</v>
      </c>
      <c r="M949" t="s">
        <v>39</v>
      </c>
      <c r="N949" t="s">
        <v>40</v>
      </c>
    </row>
    <row r="950" spans="1:14" x14ac:dyDescent="0.3">
      <c r="A950" t="s">
        <v>48</v>
      </c>
      <c r="B950" t="s">
        <v>68</v>
      </c>
      <c r="C950" t="s">
        <v>69</v>
      </c>
      <c r="D950" t="s">
        <v>44</v>
      </c>
      <c r="E950" t="s">
        <v>51</v>
      </c>
      <c r="F950" t="s">
        <v>188</v>
      </c>
      <c r="G950">
        <v>1256000</v>
      </c>
      <c r="H950" s="1">
        <v>45142</v>
      </c>
      <c r="I950">
        <v>2023</v>
      </c>
      <c r="J950" t="s">
        <v>153</v>
      </c>
      <c r="K950">
        <v>8</v>
      </c>
      <c r="L950" t="s">
        <v>38</v>
      </c>
      <c r="M950" t="s">
        <v>30</v>
      </c>
      <c r="N950" t="s">
        <v>31</v>
      </c>
    </row>
    <row r="951" spans="1:14" x14ac:dyDescent="0.3">
      <c r="A951" t="s">
        <v>305</v>
      </c>
      <c r="B951" t="s">
        <v>42</v>
      </c>
      <c r="C951" t="s">
        <v>205</v>
      </c>
      <c r="D951" t="s">
        <v>70</v>
      </c>
      <c r="E951" t="s">
        <v>349</v>
      </c>
      <c r="F951" t="s">
        <v>103</v>
      </c>
      <c r="G951">
        <v>5042000</v>
      </c>
      <c r="H951" s="1">
        <v>44509</v>
      </c>
      <c r="I951">
        <v>2021</v>
      </c>
      <c r="J951" t="s">
        <v>72</v>
      </c>
      <c r="K951">
        <v>11</v>
      </c>
      <c r="L951" t="s">
        <v>38</v>
      </c>
      <c r="M951" t="s">
        <v>30</v>
      </c>
      <c r="N951" t="s">
        <v>47</v>
      </c>
    </row>
    <row r="952" spans="1:14" x14ac:dyDescent="0.3">
      <c r="A952" t="s">
        <v>249</v>
      </c>
      <c r="B952" t="s">
        <v>68</v>
      </c>
      <c r="C952" t="s">
        <v>69</v>
      </c>
      <c r="D952" t="s">
        <v>54</v>
      </c>
      <c r="E952" t="s">
        <v>226</v>
      </c>
      <c r="F952" t="s">
        <v>19</v>
      </c>
      <c r="G952">
        <v>458000</v>
      </c>
      <c r="H952" s="1">
        <v>45625</v>
      </c>
      <c r="I952">
        <v>2024</v>
      </c>
      <c r="J952" t="s">
        <v>72</v>
      </c>
      <c r="K952">
        <v>11</v>
      </c>
      <c r="L952" t="s">
        <v>21</v>
      </c>
      <c r="M952" t="s">
        <v>22</v>
      </c>
      <c r="N952" t="s">
        <v>31</v>
      </c>
    </row>
    <row r="953" spans="1:14" x14ac:dyDescent="0.3">
      <c r="A953" t="s">
        <v>67</v>
      </c>
      <c r="B953" t="s">
        <v>49</v>
      </c>
      <c r="C953" t="s">
        <v>135</v>
      </c>
      <c r="D953" t="s">
        <v>44</v>
      </c>
      <c r="E953" t="s">
        <v>226</v>
      </c>
      <c r="F953" t="s">
        <v>103</v>
      </c>
      <c r="G953">
        <v>6055000</v>
      </c>
      <c r="H953" s="1">
        <v>44267</v>
      </c>
      <c r="I953">
        <v>2021</v>
      </c>
      <c r="J953" t="s">
        <v>37</v>
      </c>
      <c r="K953">
        <v>3</v>
      </c>
      <c r="L953" t="s">
        <v>38</v>
      </c>
      <c r="M953" t="s">
        <v>30</v>
      </c>
      <c r="N953" t="s">
        <v>40</v>
      </c>
    </row>
    <row r="954" spans="1:14" x14ac:dyDescent="0.3">
      <c r="A954" t="s">
        <v>282</v>
      </c>
      <c r="B954" t="s">
        <v>68</v>
      </c>
      <c r="C954" t="s">
        <v>324</v>
      </c>
      <c r="D954" t="s">
        <v>136</v>
      </c>
      <c r="E954" t="s">
        <v>157</v>
      </c>
      <c r="F954" t="s">
        <v>19</v>
      </c>
      <c r="G954">
        <v>95000</v>
      </c>
      <c r="H954" s="1">
        <v>43844</v>
      </c>
      <c r="I954">
        <v>2020</v>
      </c>
      <c r="J954" t="s">
        <v>29</v>
      </c>
      <c r="K954">
        <v>1</v>
      </c>
      <c r="L954" t="s">
        <v>21</v>
      </c>
      <c r="M954" t="s">
        <v>22</v>
      </c>
      <c r="N954" t="s">
        <v>31</v>
      </c>
    </row>
    <row r="955" spans="1:14" x14ac:dyDescent="0.3">
      <c r="A955" t="s">
        <v>446</v>
      </c>
      <c r="B955" t="s">
        <v>81</v>
      </c>
      <c r="C955" t="s">
        <v>82</v>
      </c>
      <c r="D955" t="s">
        <v>17</v>
      </c>
      <c r="E955" t="s">
        <v>116</v>
      </c>
      <c r="F955" t="s">
        <v>19</v>
      </c>
      <c r="G955">
        <v>1459000</v>
      </c>
      <c r="H955" s="1">
        <v>44732</v>
      </c>
      <c r="I955">
        <v>2022</v>
      </c>
      <c r="J955" t="s">
        <v>141</v>
      </c>
      <c r="K955">
        <v>6</v>
      </c>
      <c r="L955" t="s">
        <v>21</v>
      </c>
      <c r="M955" t="s">
        <v>30</v>
      </c>
      <c r="N955" t="s">
        <v>84</v>
      </c>
    </row>
    <row r="956" spans="1:14" x14ac:dyDescent="0.3">
      <c r="A956" t="s">
        <v>326</v>
      </c>
      <c r="B956" t="s">
        <v>81</v>
      </c>
      <c r="C956" t="s">
        <v>250</v>
      </c>
      <c r="D956" t="s">
        <v>44</v>
      </c>
      <c r="E956" t="s">
        <v>369</v>
      </c>
      <c r="F956" t="s">
        <v>19</v>
      </c>
      <c r="G956">
        <v>234000</v>
      </c>
      <c r="H956" s="1">
        <v>44187</v>
      </c>
      <c r="I956">
        <v>2020</v>
      </c>
      <c r="J956" t="s">
        <v>99</v>
      </c>
      <c r="K956">
        <v>12</v>
      </c>
      <c r="L956" t="s">
        <v>21</v>
      </c>
      <c r="M956" t="s">
        <v>22</v>
      </c>
      <c r="N956" t="s">
        <v>84</v>
      </c>
    </row>
    <row r="957" spans="1:14" x14ac:dyDescent="0.3">
      <c r="A957" t="s">
        <v>370</v>
      </c>
      <c r="B957" t="s">
        <v>86</v>
      </c>
      <c r="C957" t="s">
        <v>87</v>
      </c>
      <c r="D957" t="s">
        <v>54</v>
      </c>
      <c r="E957" t="s">
        <v>369</v>
      </c>
      <c r="F957" t="s">
        <v>19</v>
      </c>
      <c r="G957">
        <v>205000</v>
      </c>
      <c r="H957" s="1">
        <v>44191</v>
      </c>
      <c r="I957">
        <v>2020</v>
      </c>
      <c r="J957" t="s">
        <v>99</v>
      </c>
      <c r="K957">
        <v>12</v>
      </c>
      <c r="L957" t="s">
        <v>21</v>
      </c>
      <c r="M957" t="s">
        <v>22</v>
      </c>
      <c r="N957" t="s">
        <v>47</v>
      </c>
    </row>
    <row r="958" spans="1:14" x14ac:dyDescent="0.3">
      <c r="A958" t="s">
        <v>224</v>
      </c>
      <c r="B958" t="s">
        <v>105</v>
      </c>
      <c r="C958" t="s">
        <v>119</v>
      </c>
      <c r="D958" t="s">
        <v>17</v>
      </c>
      <c r="E958" t="s">
        <v>183</v>
      </c>
      <c r="F958" t="s">
        <v>19</v>
      </c>
      <c r="G958">
        <v>339000</v>
      </c>
      <c r="H958" s="1">
        <v>44261</v>
      </c>
      <c r="I958">
        <v>2021</v>
      </c>
      <c r="J958" t="s">
        <v>37</v>
      </c>
      <c r="K958">
        <v>3</v>
      </c>
      <c r="L958" t="s">
        <v>21</v>
      </c>
      <c r="M958" t="s">
        <v>22</v>
      </c>
      <c r="N958" t="s">
        <v>23</v>
      </c>
    </row>
    <row r="959" spans="1:14" x14ac:dyDescent="0.3">
      <c r="A959" t="s">
        <v>204</v>
      </c>
      <c r="B959" t="s">
        <v>59</v>
      </c>
      <c r="C959" t="s">
        <v>149</v>
      </c>
      <c r="D959" t="s">
        <v>54</v>
      </c>
      <c r="E959" t="s">
        <v>28</v>
      </c>
      <c r="F959" t="s">
        <v>188</v>
      </c>
      <c r="G959">
        <v>59000</v>
      </c>
      <c r="H959" s="1">
        <v>45832</v>
      </c>
      <c r="I959">
        <v>2025</v>
      </c>
      <c r="J959" t="s">
        <v>141</v>
      </c>
      <c r="K959">
        <v>6</v>
      </c>
      <c r="L959" t="s">
        <v>38</v>
      </c>
      <c r="M959" t="s">
        <v>22</v>
      </c>
      <c r="N959" t="s">
        <v>31</v>
      </c>
    </row>
    <row r="960" spans="1:14" x14ac:dyDescent="0.3">
      <c r="A960" t="s">
        <v>413</v>
      </c>
      <c r="B960" t="s">
        <v>186</v>
      </c>
      <c r="C960" t="s">
        <v>127</v>
      </c>
      <c r="D960" t="s">
        <v>54</v>
      </c>
      <c r="E960" t="s">
        <v>97</v>
      </c>
      <c r="F960" t="s">
        <v>132</v>
      </c>
      <c r="G960">
        <v>31376000</v>
      </c>
      <c r="H960" s="1">
        <v>44223</v>
      </c>
      <c r="I960">
        <v>2021</v>
      </c>
      <c r="J960" t="s">
        <v>29</v>
      </c>
      <c r="K960">
        <v>1</v>
      </c>
      <c r="L960" t="s">
        <v>65</v>
      </c>
      <c r="M960" t="s">
        <v>39</v>
      </c>
      <c r="N960" t="s">
        <v>31</v>
      </c>
    </row>
    <row r="961" spans="1:14" x14ac:dyDescent="0.3">
      <c r="A961" t="s">
        <v>181</v>
      </c>
      <c r="B961" t="s">
        <v>15</v>
      </c>
      <c r="C961" t="s">
        <v>74</v>
      </c>
      <c r="D961" t="s">
        <v>75</v>
      </c>
      <c r="E961" t="s">
        <v>601</v>
      </c>
      <c r="F961" t="s">
        <v>103</v>
      </c>
      <c r="G961">
        <v>7379000</v>
      </c>
      <c r="H961" s="1">
        <v>45580</v>
      </c>
      <c r="I961">
        <v>2024</v>
      </c>
      <c r="J961" t="s">
        <v>89</v>
      </c>
      <c r="K961">
        <v>10</v>
      </c>
      <c r="L961" t="s">
        <v>38</v>
      </c>
      <c r="M961" t="s">
        <v>30</v>
      </c>
      <c r="N961" t="s">
        <v>23</v>
      </c>
    </row>
    <row r="962" spans="1:14" x14ac:dyDescent="0.3">
      <c r="A962" t="s">
        <v>676</v>
      </c>
      <c r="B962" t="s">
        <v>59</v>
      </c>
      <c r="C962" t="s">
        <v>149</v>
      </c>
      <c r="D962" t="s">
        <v>54</v>
      </c>
      <c r="E962" t="s">
        <v>374</v>
      </c>
      <c r="F962" t="s">
        <v>175</v>
      </c>
      <c r="G962">
        <v>60502000</v>
      </c>
      <c r="H962" s="1">
        <v>45814</v>
      </c>
      <c r="I962">
        <v>2025</v>
      </c>
      <c r="J962" t="s">
        <v>141</v>
      </c>
      <c r="K962">
        <v>6</v>
      </c>
      <c r="L962" t="s">
        <v>65</v>
      </c>
      <c r="M962" t="s">
        <v>39</v>
      </c>
      <c r="N962" t="s">
        <v>31</v>
      </c>
    </row>
    <row r="963" spans="1:14" x14ac:dyDescent="0.3">
      <c r="A963" t="s">
        <v>309</v>
      </c>
      <c r="B963" t="s">
        <v>59</v>
      </c>
      <c r="C963" t="s">
        <v>60</v>
      </c>
      <c r="D963" t="s">
        <v>75</v>
      </c>
      <c r="E963" t="s">
        <v>434</v>
      </c>
      <c r="F963" t="s">
        <v>19</v>
      </c>
      <c r="G963">
        <v>463000</v>
      </c>
      <c r="H963" s="1">
        <v>44872</v>
      </c>
      <c r="I963">
        <v>2022</v>
      </c>
      <c r="J963" t="s">
        <v>72</v>
      </c>
      <c r="K963">
        <v>11</v>
      </c>
      <c r="L963" t="s">
        <v>21</v>
      </c>
      <c r="M963" t="s">
        <v>22</v>
      </c>
      <c r="N963" t="s">
        <v>31</v>
      </c>
    </row>
    <row r="964" spans="1:14" x14ac:dyDescent="0.3">
      <c r="A964" t="s">
        <v>468</v>
      </c>
      <c r="B964" t="s">
        <v>42</v>
      </c>
      <c r="C964" t="s">
        <v>182</v>
      </c>
      <c r="D964" t="s">
        <v>96</v>
      </c>
      <c r="E964" t="s">
        <v>677</v>
      </c>
      <c r="F964" t="s">
        <v>36</v>
      </c>
      <c r="G964">
        <v>9872000</v>
      </c>
      <c r="H964" s="1">
        <v>44907</v>
      </c>
      <c r="I964">
        <v>2022</v>
      </c>
      <c r="J964" t="s">
        <v>99</v>
      </c>
      <c r="K964">
        <v>12</v>
      </c>
      <c r="L964" t="s">
        <v>38</v>
      </c>
      <c r="M964" t="s">
        <v>30</v>
      </c>
      <c r="N964" t="s">
        <v>47</v>
      </c>
    </row>
    <row r="965" spans="1:14" x14ac:dyDescent="0.3">
      <c r="A965" t="s">
        <v>230</v>
      </c>
      <c r="B965" t="s">
        <v>59</v>
      </c>
      <c r="C965" t="s">
        <v>60</v>
      </c>
      <c r="D965" t="s">
        <v>27</v>
      </c>
      <c r="E965" t="s">
        <v>183</v>
      </c>
      <c r="F965" t="s">
        <v>19</v>
      </c>
      <c r="G965">
        <v>210000</v>
      </c>
      <c r="H965" s="1">
        <v>45663</v>
      </c>
      <c r="I965">
        <v>2025</v>
      </c>
      <c r="J965" t="s">
        <v>29</v>
      </c>
      <c r="K965">
        <v>1</v>
      </c>
      <c r="L965" t="s">
        <v>21</v>
      </c>
      <c r="M965" t="s">
        <v>22</v>
      </c>
      <c r="N965" t="s">
        <v>31</v>
      </c>
    </row>
    <row r="966" spans="1:14" x14ac:dyDescent="0.3">
      <c r="A966" t="s">
        <v>62</v>
      </c>
      <c r="B966" t="s">
        <v>94</v>
      </c>
      <c r="C966" t="s">
        <v>159</v>
      </c>
      <c r="D966" t="s">
        <v>136</v>
      </c>
      <c r="E966" t="s">
        <v>217</v>
      </c>
      <c r="F966" t="s">
        <v>103</v>
      </c>
      <c r="G966">
        <v>2185000</v>
      </c>
      <c r="H966" s="1">
        <v>45746</v>
      </c>
      <c r="I966">
        <v>2025</v>
      </c>
      <c r="J966" t="s">
        <v>37</v>
      </c>
      <c r="K966">
        <v>3</v>
      </c>
      <c r="L966" t="s">
        <v>38</v>
      </c>
      <c r="M966" t="s">
        <v>30</v>
      </c>
      <c r="N966" t="s">
        <v>40</v>
      </c>
    </row>
    <row r="967" spans="1:14" x14ac:dyDescent="0.3">
      <c r="A967" t="s">
        <v>394</v>
      </c>
      <c r="B967" t="s">
        <v>186</v>
      </c>
      <c r="C967" t="s">
        <v>341</v>
      </c>
      <c r="D967" t="s">
        <v>70</v>
      </c>
      <c r="E967" t="s">
        <v>547</v>
      </c>
      <c r="F967" t="s">
        <v>103</v>
      </c>
      <c r="G967">
        <v>2620000</v>
      </c>
      <c r="H967" s="1">
        <v>44302</v>
      </c>
      <c r="I967">
        <v>2021</v>
      </c>
      <c r="J967" t="s">
        <v>20</v>
      </c>
      <c r="K967">
        <v>4</v>
      </c>
      <c r="L967" t="s">
        <v>38</v>
      </c>
      <c r="M967" t="s">
        <v>30</v>
      </c>
      <c r="N967" t="s">
        <v>31</v>
      </c>
    </row>
    <row r="968" spans="1:14" x14ac:dyDescent="0.3">
      <c r="A968" t="s">
        <v>184</v>
      </c>
      <c r="B968" t="s">
        <v>42</v>
      </c>
      <c r="C968" t="s">
        <v>43</v>
      </c>
      <c r="D968" t="s">
        <v>136</v>
      </c>
      <c r="E968" t="s">
        <v>200</v>
      </c>
      <c r="F968" t="s">
        <v>56</v>
      </c>
      <c r="G968">
        <v>524000</v>
      </c>
      <c r="H968" s="1">
        <v>44849</v>
      </c>
      <c r="I968">
        <v>2022</v>
      </c>
      <c r="J968" t="s">
        <v>89</v>
      </c>
      <c r="K968">
        <v>10</v>
      </c>
      <c r="L968" t="s">
        <v>38</v>
      </c>
      <c r="M968" t="s">
        <v>22</v>
      </c>
      <c r="N968" t="s">
        <v>47</v>
      </c>
    </row>
    <row r="969" spans="1:14" x14ac:dyDescent="0.3">
      <c r="A969" t="s">
        <v>285</v>
      </c>
      <c r="B969" t="s">
        <v>15</v>
      </c>
      <c r="C969" t="s">
        <v>110</v>
      </c>
      <c r="D969" t="s">
        <v>17</v>
      </c>
      <c r="E969" t="s">
        <v>242</v>
      </c>
      <c r="F969" t="s">
        <v>56</v>
      </c>
      <c r="G969">
        <v>198000</v>
      </c>
      <c r="H969" s="1">
        <v>43999</v>
      </c>
      <c r="I969">
        <v>2020</v>
      </c>
      <c r="J969" t="s">
        <v>141</v>
      </c>
      <c r="K969">
        <v>6</v>
      </c>
      <c r="L969" t="s">
        <v>38</v>
      </c>
      <c r="M969" t="s">
        <v>22</v>
      </c>
      <c r="N969" t="s">
        <v>23</v>
      </c>
    </row>
    <row r="970" spans="1:14" x14ac:dyDescent="0.3">
      <c r="A970" t="s">
        <v>309</v>
      </c>
      <c r="B970" t="s">
        <v>15</v>
      </c>
      <c r="C970" t="s">
        <v>74</v>
      </c>
      <c r="D970" t="s">
        <v>17</v>
      </c>
      <c r="E970" t="s">
        <v>18</v>
      </c>
      <c r="F970" t="s">
        <v>19</v>
      </c>
      <c r="G970">
        <v>404000</v>
      </c>
      <c r="H970" s="1">
        <v>43909</v>
      </c>
      <c r="I970">
        <v>2020</v>
      </c>
      <c r="J970" t="s">
        <v>37</v>
      </c>
      <c r="K970">
        <v>3</v>
      </c>
      <c r="L970" t="s">
        <v>21</v>
      </c>
      <c r="M970" t="s">
        <v>22</v>
      </c>
      <c r="N970" t="s">
        <v>23</v>
      </c>
    </row>
    <row r="971" spans="1:14" x14ac:dyDescent="0.3">
      <c r="A971" t="s">
        <v>282</v>
      </c>
      <c r="B971" t="s">
        <v>25</v>
      </c>
      <c r="C971" t="s">
        <v>26</v>
      </c>
      <c r="D971" t="s">
        <v>34</v>
      </c>
      <c r="E971" t="s">
        <v>61</v>
      </c>
      <c r="F971" t="s">
        <v>19</v>
      </c>
      <c r="G971">
        <v>289000</v>
      </c>
      <c r="H971" s="1">
        <v>45068</v>
      </c>
      <c r="I971">
        <v>2023</v>
      </c>
      <c r="J971" t="s">
        <v>77</v>
      </c>
      <c r="K971">
        <v>5</v>
      </c>
      <c r="L971" t="s">
        <v>21</v>
      </c>
      <c r="M971" t="s">
        <v>22</v>
      </c>
      <c r="N971" t="s">
        <v>31</v>
      </c>
    </row>
    <row r="972" spans="1:14" x14ac:dyDescent="0.3">
      <c r="A972" t="s">
        <v>139</v>
      </c>
      <c r="B972" t="s">
        <v>81</v>
      </c>
      <c r="C972" t="s">
        <v>319</v>
      </c>
      <c r="D972" t="s">
        <v>34</v>
      </c>
      <c r="E972" t="s">
        <v>363</v>
      </c>
      <c r="F972" t="s">
        <v>132</v>
      </c>
      <c r="G972">
        <v>120661000</v>
      </c>
      <c r="H972" s="1">
        <v>45434</v>
      </c>
      <c r="I972">
        <v>2024</v>
      </c>
      <c r="J972" t="s">
        <v>77</v>
      </c>
      <c r="K972">
        <v>5</v>
      </c>
      <c r="L972" t="s">
        <v>65</v>
      </c>
      <c r="M972" t="s">
        <v>66</v>
      </c>
      <c r="N972" t="s">
        <v>84</v>
      </c>
    </row>
    <row r="973" spans="1:14" x14ac:dyDescent="0.3">
      <c r="A973" t="s">
        <v>438</v>
      </c>
      <c r="B973" t="s">
        <v>32</v>
      </c>
      <c r="C973" t="s">
        <v>33</v>
      </c>
      <c r="D973" t="s">
        <v>136</v>
      </c>
      <c r="E973" t="s">
        <v>678</v>
      </c>
      <c r="F973" t="s">
        <v>19</v>
      </c>
      <c r="G973">
        <v>1584000</v>
      </c>
      <c r="H973" s="1">
        <v>45312</v>
      </c>
      <c r="I973">
        <v>2024</v>
      </c>
      <c r="J973" t="s">
        <v>29</v>
      </c>
      <c r="K973">
        <v>1</v>
      </c>
      <c r="L973" t="s">
        <v>21</v>
      </c>
      <c r="M973" t="s">
        <v>30</v>
      </c>
      <c r="N973" t="s">
        <v>40</v>
      </c>
    </row>
    <row r="974" spans="1:14" x14ac:dyDescent="0.3">
      <c r="A974" t="s">
        <v>221</v>
      </c>
      <c r="B974" t="s">
        <v>25</v>
      </c>
      <c r="C974" t="s">
        <v>168</v>
      </c>
      <c r="D974" t="s">
        <v>96</v>
      </c>
      <c r="E974" t="s">
        <v>183</v>
      </c>
      <c r="F974" t="s">
        <v>132</v>
      </c>
      <c r="G974">
        <v>145412000</v>
      </c>
      <c r="H974" s="1">
        <v>44472</v>
      </c>
      <c r="I974">
        <v>2021</v>
      </c>
      <c r="J974" t="s">
        <v>89</v>
      </c>
      <c r="K974">
        <v>10</v>
      </c>
      <c r="L974" t="s">
        <v>65</v>
      </c>
      <c r="M974" t="s">
        <v>66</v>
      </c>
      <c r="N974" t="s">
        <v>31</v>
      </c>
    </row>
    <row r="975" spans="1:14" x14ac:dyDescent="0.3">
      <c r="A975" t="s">
        <v>347</v>
      </c>
      <c r="B975" t="s">
        <v>42</v>
      </c>
      <c r="C975" t="s">
        <v>205</v>
      </c>
      <c r="D975" t="s">
        <v>27</v>
      </c>
      <c r="E975" t="s">
        <v>200</v>
      </c>
      <c r="F975" t="s">
        <v>56</v>
      </c>
      <c r="G975">
        <v>164000</v>
      </c>
      <c r="H975" s="1">
        <v>45013</v>
      </c>
      <c r="I975">
        <v>2023</v>
      </c>
      <c r="J975" t="s">
        <v>37</v>
      </c>
      <c r="K975">
        <v>3</v>
      </c>
      <c r="L975" t="s">
        <v>38</v>
      </c>
      <c r="M975" t="s">
        <v>22</v>
      </c>
      <c r="N975" t="s">
        <v>47</v>
      </c>
    </row>
    <row r="976" spans="1:14" x14ac:dyDescent="0.3">
      <c r="A976" t="s">
        <v>466</v>
      </c>
      <c r="B976" t="s">
        <v>49</v>
      </c>
      <c r="C976" t="s">
        <v>225</v>
      </c>
      <c r="D976" t="s">
        <v>96</v>
      </c>
      <c r="E976" t="s">
        <v>679</v>
      </c>
      <c r="F976" t="s">
        <v>19</v>
      </c>
      <c r="G976">
        <v>56000</v>
      </c>
      <c r="H976" s="1">
        <v>44702</v>
      </c>
      <c r="I976">
        <v>2022</v>
      </c>
      <c r="J976" t="s">
        <v>77</v>
      </c>
      <c r="K976">
        <v>5</v>
      </c>
      <c r="L976" t="s">
        <v>21</v>
      </c>
      <c r="M976" t="s">
        <v>22</v>
      </c>
      <c r="N976" t="s">
        <v>40</v>
      </c>
    </row>
    <row r="977" spans="1:14" x14ac:dyDescent="0.3">
      <c r="A977" t="s">
        <v>249</v>
      </c>
      <c r="B977" t="s">
        <v>86</v>
      </c>
      <c r="C977" t="s">
        <v>283</v>
      </c>
      <c r="D977" t="s">
        <v>75</v>
      </c>
      <c r="E977" t="s">
        <v>231</v>
      </c>
      <c r="F977" t="s">
        <v>132</v>
      </c>
      <c r="G977">
        <v>40689000</v>
      </c>
      <c r="H977" s="1">
        <v>45719</v>
      </c>
      <c r="I977">
        <v>2025</v>
      </c>
      <c r="J977" t="s">
        <v>37</v>
      </c>
      <c r="K977">
        <v>3</v>
      </c>
      <c r="L977" t="s">
        <v>65</v>
      </c>
      <c r="M977" t="s">
        <v>39</v>
      </c>
      <c r="N977" t="s">
        <v>47</v>
      </c>
    </row>
    <row r="978" spans="1:14" x14ac:dyDescent="0.3">
      <c r="A978" t="s">
        <v>282</v>
      </c>
      <c r="B978" t="s">
        <v>59</v>
      </c>
      <c r="C978" t="s">
        <v>60</v>
      </c>
      <c r="D978" t="s">
        <v>75</v>
      </c>
      <c r="E978" t="s">
        <v>533</v>
      </c>
      <c r="F978" t="s">
        <v>103</v>
      </c>
      <c r="G978">
        <v>5010000</v>
      </c>
      <c r="H978" s="1">
        <v>44631</v>
      </c>
      <c r="I978">
        <v>2022</v>
      </c>
      <c r="J978" t="s">
        <v>37</v>
      </c>
      <c r="K978">
        <v>3</v>
      </c>
      <c r="L978" t="s">
        <v>38</v>
      </c>
      <c r="M978" t="s">
        <v>30</v>
      </c>
      <c r="N978" t="s">
        <v>31</v>
      </c>
    </row>
    <row r="979" spans="1:14" x14ac:dyDescent="0.3">
      <c r="A979" t="s">
        <v>170</v>
      </c>
      <c r="B979" t="s">
        <v>186</v>
      </c>
      <c r="C979" t="s">
        <v>341</v>
      </c>
      <c r="D979" t="s">
        <v>75</v>
      </c>
      <c r="E979" t="s">
        <v>112</v>
      </c>
      <c r="F979" t="s">
        <v>188</v>
      </c>
      <c r="G979">
        <v>60000</v>
      </c>
      <c r="H979" s="1">
        <v>45139</v>
      </c>
      <c r="I979">
        <v>2023</v>
      </c>
      <c r="J979" t="s">
        <v>153</v>
      </c>
      <c r="K979">
        <v>8</v>
      </c>
      <c r="L979" t="s">
        <v>38</v>
      </c>
      <c r="M979" t="s">
        <v>22</v>
      </c>
      <c r="N979" t="s">
        <v>31</v>
      </c>
    </row>
    <row r="980" spans="1:14" x14ac:dyDescent="0.3">
      <c r="A980" t="s">
        <v>104</v>
      </c>
      <c r="B980" t="s">
        <v>49</v>
      </c>
      <c r="C980" t="s">
        <v>50</v>
      </c>
      <c r="D980" t="s">
        <v>54</v>
      </c>
      <c r="E980" t="s">
        <v>651</v>
      </c>
      <c r="F980" t="s">
        <v>117</v>
      </c>
      <c r="G980">
        <v>63000</v>
      </c>
      <c r="H980" s="1">
        <v>45242</v>
      </c>
      <c r="I980">
        <v>2023</v>
      </c>
      <c r="J980" t="s">
        <v>72</v>
      </c>
      <c r="K980">
        <v>11</v>
      </c>
      <c r="L980" t="s">
        <v>21</v>
      </c>
      <c r="M980" t="s">
        <v>22</v>
      </c>
      <c r="N980" t="s">
        <v>40</v>
      </c>
    </row>
    <row r="981" spans="1:14" x14ac:dyDescent="0.3">
      <c r="A981" t="s">
        <v>241</v>
      </c>
      <c r="B981" t="s">
        <v>68</v>
      </c>
      <c r="C981" t="s">
        <v>69</v>
      </c>
      <c r="D981" t="s">
        <v>44</v>
      </c>
      <c r="E981" t="s">
        <v>121</v>
      </c>
      <c r="F981" t="s">
        <v>19</v>
      </c>
      <c r="G981">
        <v>452000</v>
      </c>
      <c r="H981" s="1">
        <v>45181</v>
      </c>
      <c r="I981">
        <v>2023</v>
      </c>
      <c r="J981" t="s">
        <v>46</v>
      </c>
      <c r="K981">
        <v>9</v>
      </c>
      <c r="L981" t="s">
        <v>21</v>
      </c>
      <c r="M981" t="s">
        <v>22</v>
      </c>
      <c r="N981" t="s">
        <v>31</v>
      </c>
    </row>
    <row r="982" spans="1:14" x14ac:dyDescent="0.3">
      <c r="A982" t="s">
        <v>466</v>
      </c>
      <c r="B982" t="s">
        <v>114</v>
      </c>
      <c r="C982" t="s">
        <v>115</v>
      </c>
      <c r="D982" t="s">
        <v>136</v>
      </c>
      <c r="E982" t="s">
        <v>91</v>
      </c>
      <c r="F982" t="s">
        <v>19</v>
      </c>
      <c r="G982">
        <v>172000</v>
      </c>
      <c r="H982" s="1">
        <v>44057</v>
      </c>
      <c r="I982">
        <v>2020</v>
      </c>
      <c r="J982" t="s">
        <v>153</v>
      </c>
      <c r="K982">
        <v>8</v>
      </c>
      <c r="L982" t="s">
        <v>21</v>
      </c>
      <c r="M982" t="s">
        <v>22</v>
      </c>
      <c r="N982" t="s">
        <v>47</v>
      </c>
    </row>
    <row r="983" spans="1:14" x14ac:dyDescent="0.3">
      <c r="A983" t="s">
        <v>480</v>
      </c>
      <c r="B983" t="s">
        <v>68</v>
      </c>
      <c r="C983" t="s">
        <v>324</v>
      </c>
      <c r="D983" t="s">
        <v>54</v>
      </c>
      <c r="E983" t="s">
        <v>523</v>
      </c>
      <c r="F983" t="s">
        <v>64</v>
      </c>
      <c r="G983">
        <v>382414000</v>
      </c>
      <c r="H983" s="1">
        <v>44465</v>
      </c>
      <c r="I983">
        <v>2021</v>
      </c>
      <c r="J983" t="s">
        <v>46</v>
      </c>
      <c r="K983">
        <v>9</v>
      </c>
      <c r="L983" t="s">
        <v>65</v>
      </c>
      <c r="M983" t="s">
        <v>66</v>
      </c>
      <c r="N983" t="s">
        <v>31</v>
      </c>
    </row>
    <row r="984" spans="1:14" x14ac:dyDescent="0.3">
      <c r="A984" t="s">
        <v>100</v>
      </c>
      <c r="B984" t="s">
        <v>94</v>
      </c>
      <c r="C984" t="s">
        <v>146</v>
      </c>
      <c r="D984" t="s">
        <v>44</v>
      </c>
      <c r="E984" t="s">
        <v>680</v>
      </c>
      <c r="F984" t="s">
        <v>103</v>
      </c>
      <c r="G984">
        <v>1335000</v>
      </c>
      <c r="H984" s="1">
        <v>45233</v>
      </c>
      <c r="I984">
        <v>2023</v>
      </c>
      <c r="J984" t="s">
        <v>72</v>
      </c>
      <c r="K984">
        <v>11</v>
      </c>
      <c r="L984" t="s">
        <v>38</v>
      </c>
      <c r="M984" t="s">
        <v>30</v>
      </c>
      <c r="N984" t="s">
        <v>40</v>
      </c>
    </row>
    <row r="985" spans="1:14" x14ac:dyDescent="0.3">
      <c r="A985" t="s">
        <v>442</v>
      </c>
      <c r="B985" t="s">
        <v>114</v>
      </c>
      <c r="C985" t="s">
        <v>115</v>
      </c>
      <c r="D985" t="s">
        <v>75</v>
      </c>
      <c r="E985" t="s">
        <v>369</v>
      </c>
      <c r="F985" t="s">
        <v>132</v>
      </c>
      <c r="G985">
        <v>24513000</v>
      </c>
      <c r="H985" s="1">
        <v>44907</v>
      </c>
      <c r="I985">
        <v>2022</v>
      </c>
      <c r="J985" t="s">
        <v>99</v>
      </c>
      <c r="K985">
        <v>12</v>
      </c>
      <c r="L985" t="s">
        <v>65</v>
      </c>
      <c r="M985" t="s">
        <v>39</v>
      </c>
      <c r="N985" t="s">
        <v>47</v>
      </c>
    </row>
    <row r="986" spans="1:14" x14ac:dyDescent="0.3">
      <c r="A986" t="s">
        <v>272</v>
      </c>
      <c r="B986" t="s">
        <v>126</v>
      </c>
      <c r="C986" t="s">
        <v>159</v>
      </c>
      <c r="D986" t="s">
        <v>17</v>
      </c>
      <c r="E986" t="s">
        <v>133</v>
      </c>
      <c r="F986" t="s">
        <v>19</v>
      </c>
      <c r="G986">
        <v>734000</v>
      </c>
      <c r="H986" s="1">
        <v>45635</v>
      </c>
      <c r="I986">
        <v>2024</v>
      </c>
      <c r="J986" t="s">
        <v>99</v>
      </c>
      <c r="K986">
        <v>12</v>
      </c>
      <c r="L986" t="s">
        <v>21</v>
      </c>
      <c r="M986" t="s">
        <v>22</v>
      </c>
      <c r="N986" t="s">
        <v>40</v>
      </c>
    </row>
    <row r="987" spans="1:14" x14ac:dyDescent="0.3">
      <c r="A987" t="s">
        <v>249</v>
      </c>
      <c r="B987" t="s">
        <v>68</v>
      </c>
      <c r="C987" t="s">
        <v>149</v>
      </c>
      <c r="D987" t="s">
        <v>54</v>
      </c>
      <c r="E987" t="s">
        <v>625</v>
      </c>
      <c r="F987" t="s">
        <v>56</v>
      </c>
      <c r="G987">
        <v>313000</v>
      </c>
      <c r="H987" s="1">
        <v>44198</v>
      </c>
      <c r="I987">
        <v>2021</v>
      </c>
      <c r="J987" t="s">
        <v>29</v>
      </c>
      <c r="K987">
        <v>1</v>
      </c>
      <c r="L987" t="s">
        <v>38</v>
      </c>
      <c r="M987" t="s">
        <v>22</v>
      </c>
      <c r="N987" t="s">
        <v>31</v>
      </c>
    </row>
    <row r="988" spans="1:14" x14ac:dyDescent="0.3">
      <c r="A988" t="s">
        <v>287</v>
      </c>
      <c r="B988" t="s">
        <v>186</v>
      </c>
      <c r="C988" t="s">
        <v>60</v>
      </c>
      <c r="D988" t="s">
        <v>27</v>
      </c>
      <c r="E988" t="s">
        <v>200</v>
      </c>
      <c r="F988" t="s">
        <v>19</v>
      </c>
      <c r="G988">
        <v>634000</v>
      </c>
      <c r="H988" s="1">
        <v>45613</v>
      </c>
      <c r="I988">
        <v>2024</v>
      </c>
      <c r="J988" t="s">
        <v>72</v>
      </c>
      <c r="K988">
        <v>11</v>
      </c>
      <c r="L988" t="s">
        <v>21</v>
      </c>
      <c r="M988" t="s">
        <v>22</v>
      </c>
      <c r="N988" t="s">
        <v>31</v>
      </c>
    </row>
    <row r="989" spans="1:14" x14ac:dyDescent="0.3">
      <c r="A989" t="s">
        <v>323</v>
      </c>
      <c r="B989" t="s">
        <v>49</v>
      </c>
      <c r="C989" t="s">
        <v>135</v>
      </c>
      <c r="D989" t="s">
        <v>44</v>
      </c>
      <c r="E989" t="s">
        <v>385</v>
      </c>
      <c r="F989" t="s">
        <v>128</v>
      </c>
      <c r="G989">
        <v>18000</v>
      </c>
      <c r="H989" s="1">
        <v>44673</v>
      </c>
      <c r="I989">
        <v>2022</v>
      </c>
      <c r="J989" t="s">
        <v>20</v>
      </c>
      <c r="K989">
        <v>4</v>
      </c>
      <c r="L989" t="s">
        <v>21</v>
      </c>
      <c r="M989" t="s">
        <v>22</v>
      </c>
      <c r="N989" t="s">
        <v>40</v>
      </c>
    </row>
    <row r="990" spans="1:14" x14ac:dyDescent="0.3">
      <c r="A990" t="s">
        <v>104</v>
      </c>
      <c r="B990" t="s">
        <v>32</v>
      </c>
      <c r="C990" t="s">
        <v>138</v>
      </c>
      <c r="D990" t="s">
        <v>136</v>
      </c>
      <c r="E990" t="s">
        <v>91</v>
      </c>
      <c r="F990" t="s">
        <v>103</v>
      </c>
      <c r="G990">
        <v>1949000</v>
      </c>
      <c r="H990" s="1">
        <v>44348</v>
      </c>
      <c r="I990">
        <v>2021</v>
      </c>
      <c r="J990" t="s">
        <v>141</v>
      </c>
      <c r="K990">
        <v>6</v>
      </c>
      <c r="L990" t="s">
        <v>38</v>
      </c>
      <c r="M990" t="s">
        <v>30</v>
      </c>
      <c r="N990" t="s">
        <v>40</v>
      </c>
    </row>
    <row r="991" spans="1:14" x14ac:dyDescent="0.3">
      <c r="A991" t="s">
        <v>681</v>
      </c>
      <c r="B991" t="s">
        <v>49</v>
      </c>
      <c r="C991" t="s">
        <v>50</v>
      </c>
      <c r="D991" t="s">
        <v>70</v>
      </c>
      <c r="E991" t="s">
        <v>682</v>
      </c>
      <c r="F991" t="s">
        <v>56</v>
      </c>
      <c r="G991">
        <v>659000</v>
      </c>
      <c r="H991" s="1">
        <v>45358</v>
      </c>
      <c r="I991">
        <v>2024</v>
      </c>
      <c r="J991" t="s">
        <v>37</v>
      </c>
      <c r="K991">
        <v>3</v>
      </c>
      <c r="L991" t="s">
        <v>38</v>
      </c>
      <c r="M991" t="s">
        <v>22</v>
      </c>
      <c r="N991" t="s">
        <v>40</v>
      </c>
    </row>
    <row r="992" spans="1:14" x14ac:dyDescent="0.3">
      <c r="A992" t="s">
        <v>466</v>
      </c>
      <c r="B992" t="s">
        <v>25</v>
      </c>
      <c r="C992" t="s">
        <v>171</v>
      </c>
      <c r="D992" t="s">
        <v>96</v>
      </c>
      <c r="E992" t="s">
        <v>279</v>
      </c>
      <c r="F992" t="s">
        <v>36</v>
      </c>
      <c r="G992">
        <v>45874000</v>
      </c>
      <c r="H992" s="1">
        <v>44781</v>
      </c>
      <c r="I992">
        <v>2022</v>
      </c>
      <c r="J992" t="s">
        <v>153</v>
      </c>
      <c r="K992">
        <v>8</v>
      </c>
      <c r="L992" t="s">
        <v>38</v>
      </c>
      <c r="M992" t="s">
        <v>39</v>
      </c>
      <c r="N992" t="s">
        <v>31</v>
      </c>
    </row>
    <row r="993" spans="1:14" x14ac:dyDescent="0.3">
      <c r="A993" t="s">
        <v>158</v>
      </c>
      <c r="B993" t="s">
        <v>42</v>
      </c>
      <c r="C993" t="s">
        <v>182</v>
      </c>
      <c r="D993" t="s">
        <v>70</v>
      </c>
      <c r="E993" t="s">
        <v>63</v>
      </c>
      <c r="F993" t="s">
        <v>132</v>
      </c>
      <c r="G993">
        <v>131237000</v>
      </c>
      <c r="H993" s="1">
        <v>45554</v>
      </c>
      <c r="I993">
        <v>2024</v>
      </c>
      <c r="J993" t="s">
        <v>46</v>
      </c>
      <c r="K993">
        <v>9</v>
      </c>
      <c r="L993" t="s">
        <v>65</v>
      </c>
      <c r="M993" t="s">
        <v>66</v>
      </c>
      <c r="N993" t="s">
        <v>47</v>
      </c>
    </row>
    <row r="994" spans="1:14" x14ac:dyDescent="0.3">
      <c r="A994" t="s">
        <v>276</v>
      </c>
      <c r="B994" t="s">
        <v>126</v>
      </c>
      <c r="C994" t="s">
        <v>159</v>
      </c>
      <c r="D994" t="s">
        <v>54</v>
      </c>
      <c r="E994" t="s">
        <v>683</v>
      </c>
      <c r="F994" t="s">
        <v>19</v>
      </c>
      <c r="G994">
        <v>136000</v>
      </c>
      <c r="H994" s="1">
        <v>44925</v>
      </c>
      <c r="I994">
        <v>2022</v>
      </c>
      <c r="J994" t="s">
        <v>99</v>
      </c>
      <c r="K994">
        <v>12</v>
      </c>
      <c r="L994" t="s">
        <v>21</v>
      </c>
      <c r="M994" t="s">
        <v>22</v>
      </c>
      <c r="N994" t="s">
        <v>40</v>
      </c>
    </row>
    <row r="995" spans="1:14" x14ac:dyDescent="0.3">
      <c r="A995" t="s">
        <v>178</v>
      </c>
      <c r="B995" t="s">
        <v>86</v>
      </c>
      <c r="C995" t="s">
        <v>87</v>
      </c>
      <c r="D995" t="s">
        <v>44</v>
      </c>
      <c r="E995" t="s">
        <v>684</v>
      </c>
      <c r="F995" t="s">
        <v>36</v>
      </c>
      <c r="G995">
        <v>25685000</v>
      </c>
      <c r="H995" s="1">
        <v>45659</v>
      </c>
      <c r="I995">
        <v>2025</v>
      </c>
      <c r="J995" t="s">
        <v>29</v>
      </c>
      <c r="K995">
        <v>1</v>
      </c>
      <c r="L995" t="s">
        <v>38</v>
      </c>
      <c r="M995" t="s">
        <v>39</v>
      </c>
      <c r="N995" t="s">
        <v>47</v>
      </c>
    </row>
    <row r="996" spans="1:14" x14ac:dyDescent="0.3">
      <c r="A996" t="s">
        <v>104</v>
      </c>
      <c r="B996" t="s">
        <v>68</v>
      </c>
      <c r="C996" t="s">
        <v>149</v>
      </c>
      <c r="D996" t="s">
        <v>34</v>
      </c>
      <c r="E996" t="s">
        <v>121</v>
      </c>
      <c r="F996" t="s">
        <v>103</v>
      </c>
      <c r="G996">
        <v>2658000</v>
      </c>
      <c r="H996" s="1">
        <v>45056</v>
      </c>
      <c r="I996">
        <v>2023</v>
      </c>
      <c r="J996" t="s">
        <v>77</v>
      </c>
      <c r="K996">
        <v>5</v>
      </c>
      <c r="L996" t="s">
        <v>38</v>
      </c>
      <c r="M996" t="s">
        <v>30</v>
      </c>
      <c r="N996" t="s">
        <v>31</v>
      </c>
    </row>
    <row r="997" spans="1:14" x14ac:dyDescent="0.3">
      <c r="A997" t="s">
        <v>193</v>
      </c>
      <c r="B997" t="s">
        <v>15</v>
      </c>
      <c r="C997" t="s">
        <v>110</v>
      </c>
      <c r="D997" t="s">
        <v>44</v>
      </c>
      <c r="E997" t="s">
        <v>157</v>
      </c>
      <c r="F997" t="s">
        <v>19</v>
      </c>
      <c r="G997">
        <v>70000</v>
      </c>
      <c r="H997" s="1">
        <v>43863</v>
      </c>
      <c r="I997">
        <v>2020</v>
      </c>
      <c r="J997" t="s">
        <v>108</v>
      </c>
      <c r="K997">
        <v>2</v>
      </c>
      <c r="L997" t="s">
        <v>21</v>
      </c>
      <c r="M997" t="s">
        <v>22</v>
      </c>
      <c r="N997" t="s">
        <v>23</v>
      </c>
    </row>
    <row r="998" spans="1:14" x14ac:dyDescent="0.3">
      <c r="A998" t="s">
        <v>148</v>
      </c>
      <c r="B998" t="s">
        <v>186</v>
      </c>
      <c r="C998" t="s">
        <v>127</v>
      </c>
      <c r="D998" t="s">
        <v>17</v>
      </c>
      <c r="E998" t="s">
        <v>685</v>
      </c>
      <c r="F998" t="s">
        <v>132</v>
      </c>
      <c r="G998">
        <v>239814000</v>
      </c>
      <c r="H998" s="1">
        <v>45531</v>
      </c>
      <c r="I998">
        <v>2024</v>
      </c>
      <c r="J998" t="s">
        <v>153</v>
      </c>
      <c r="K998">
        <v>8</v>
      </c>
      <c r="L998" t="s">
        <v>65</v>
      </c>
      <c r="M998" t="s">
        <v>66</v>
      </c>
      <c r="N998" t="s">
        <v>31</v>
      </c>
    </row>
    <row r="999" spans="1:14" x14ac:dyDescent="0.3">
      <c r="A999" t="s">
        <v>52</v>
      </c>
      <c r="B999" t="s">
        <v>86</v>
      </c>
      <c r="C999" t="s">
        <v>87</v>
      </c>
      <c r="D999" t="s">
        <v>75</v>
      </c>
      <c r="E999" t="s">
        <v>35</v>
      </c>
      <c r="F999" t="s">
        <v>19</v>
      </c>
      <c r="G999">
        <v>83000</v>
      </c>
      <c r="H999" s="1">
        <v>44940</v>
      </c>
      <c r="I999">
        <v>2023</v>
      </c>
      <c r="J999" t="s">
        <v>29</v>
      </c>
      <c r="K999">
        <v>1</v>
      </c>
      <c r="L999" t="s">
        <v>21</v>
      </c>
      <c r="M999" t="s">
        <v>22</v>
      </c>
      <c r="N999" t="s">
        <v>47</v>
      </c>
    </row>
    <row r="1000" spans="1:14" x14ac:dyDescent="0.3">
      <c r="A1000" t="s">
        <v>427</v>
      </c>
      <c r="B1000" t="s">
        <v>186</v>
      </c>
      <c r="C1000" t="s">
        <v>341</v>
      </c>
      <c r="D1000" t="s">
        <v>96</v>
      </c>
      <c r="E1000" t="s">
        <v>686</v>
      </c>
      <c r="F1000" t="s">
        <v>19</v>
      </c>
      <c r="G1000">
        <v>1665000</v>
      </c>
      <c r="H1000" s="1">
        <v>44654</v>
      </c>
      <c r="I1000">
        <v>2022</v>
      </c>
      <c r="J1000" t="s">
        <v>20</v>
      </c>
      <c r="K1000">
        <v>4</v>
      </c>
      <c r="L1000" t="s">
        <v>21</v>
      </c>
      <c r="M1000" t="s">
        <v>30</v>
      </c>
      <c r="N1000" t="s">
        <v>31</v>
      </c>
    </row>
    <row r="1001" spans="1:14" x14ac:dyDescent="0.3">
      <c r="A1001" t="s">
        <v>413</v>
      </c>
      <c r="B1001" t="s">
        <v>49</v>
      </c>
      <c r="C1001" t="s">
        <v>225</v>
      </c>
      <c r="D1001" t="s">
        <v>75</v>
      </c>
      <c r="E1001" t="s">
        <v>270</v>
      </c>
      <c r="F1001" t="s">
        <v>56</v>
      </c>
      <c r="G1001">
        <v>279000</v>
      </c>
      <c r="H1001" s="1">
        <v>43968</v>
      </c>
      <c r="I1001">
        <v>2020</v>
      </c>
      <c r="J1001" t="s">
        <v>77</v>
      </c>
      <c r="K1001">
        <v>5</v>
      </c>
      <c r="L1001" t="s">
        <v>38</v>
      </c>
      <c r="M1001" t="s">
        <v>22</v>
      </c>
      <c r="N1001" t="s">
        <v>40</v>
      </c>
    </row>
    <row r="1002" spans="1:14" x14ac:dyDescent="0.3">
      <c r="A1002" t="s">
        <v>233</v>
      </c>
      <c r="B1002" t="s">
        <v>186</v>
      </c>
      <c r="C1002" t="s">
        <v>149</v>
      </c>
      <c r="D1002" t="s">
        <v>75</v>
      </c>
      <c r="E1002" t="s">
        <v>258</v>
      </c>
      <c r="F1002" t="s">
        <v>19</v>
      </c>
      <c r="G1002">
        <v>99000</v>
      </c>
      <c r="H1002" s="1">
        <v>45795</v>
      </c>
      <c r="I1002">
        <v>2025</v>
      </c>
      <c r="J1002" t="s">
        <v>77</v>
      </c>
      <c r="K1002">
        <v>5</v>
      </c>
      <c r="L1002" t="s">
        <v>21</v>
      </c>
      <c r="M1002" t="s">
        <v>22</v>
      </c>
      <c r="N1002" t="s">
        <v>31</v>
      </c>
    </row>
    <row r="1003" spans="1:14" x14ac:dyDescent="0.3">
      <c r="A1003" t="s">
        <v>395</v>
      </c>
      <c r="B1003" t="s">
        <v>59</v>
      </c>
      <c r="C1003" t="s">
        <v>60</v>
      </c>
      <c r="D1003" t="s">
        <v>54</v>
      </c>
      <c r="E1003" t="s">
        <v>687</v>
      </c>
      <c r="F1003" t="s">
        <v>19</v>
      </c>
      <c r="G1003">
        <v>369000</v>
      </c>
      <c r="H1003" s="1">
        <v>45132</v>
      </c>
      <c r="I1003">
        <v>2023</v>
      </c>
      <c r="J1003" t="s">
        <v>57</v>
      </c>
      <c r="K1003">
        <v>7</v>
      </c>
      <c r="L1003" t="s">
        <v>21</v>
      </c>
      <c r="M1003" t="s">
        <v>22</v>
      </c>
      <c r="N1003" t="s">
        <v>31</v>
      </c>
    </row>
    <row r="1004" spans="1:14" x14ac:dyDescent="0.3">
      <c r="A1004" t="s">
        <v>688</v>
      </c>
      <c r="B1004" t="s">
        <v>126</v>
      </c>
      <c r="C1004" t="s">
        <v>265</v>
      </c>
      <c r="D1004" t="s">
        <v>136</v>
      </c>
      <c r="E1004" t="s">
        <v>91</v>
      </c>
      <c r="F1004" t="s">
        <v>103</v>
      </c>
      <c r="G1004">
        <v>10633000</v>
      </c>
      <c r="H1004" s="1">
        <v>45350</v>
      </c>
      <c r="I1004">
        <v>2024</v>
      </c>
      <c r="J1004" t="s">
        <v>108</v>
      </c>
      <c r="K1004">
        <v>2</v>
      </c>
      <c r="L1004" t="s">
        <v>38</v>
      </c>
      <c r="M1004" t="s">
        <v>39</v>
      </c>
      <c r="N1004" t="s">
        <v>40</v>
      </c>
    </row>
    <row r="1005" spans="1:14" x14ac:dyDescent="0.3">
      <c r="A1005" t="s">
        <v>438</v>
      </c>
      <c r="B1005" t="s">
        <v>126</v>
      </c>
      <c r="C1005" t="s">
        <v>159</v>
      </c>
      <c r="D1005" t="s">
        <v>34</v>
      </c>
      <c r="E1005" t="s">
        <v>116</v>
      </c>
      <c r="F1005" t="s">
        <v>19</v>
      </c>
      <c r="G1005">
        <v>745000</v>
      </c>
      <c r="H1005" s="1">
        <v>44708</v>
      </c>
      <c r="I1005">
        <v>2022</v>
      </c>
      <c r="J1005" t="s">
        <v>77</v>
      </c>
      <c r="K1005">
        <v>5</v>
      </c>
      <c r="L1005" t="s">
        <v>21</v>
      </c>
      <c r="M1005" t="s">
        <v>22</v>
      </c>
      <c r="N1005" t="s">
        <v>40</v>
      </c>
    </row>
    <row r="1006" spans="1:14" x14ac:dyDescent="0.3">
      <c r="A1006" t="s">
        <v>368</v>
      </c>
      <c r="B1006" t="s">
        <v>42</v>
      </c>
      <c r="C1006" t="s">
        <v>43</v>
      </c>
      <c r="D1006" t="s">
        <v>44</v>
      </c>
      <c r="E1006" t="s">
        <v>689</v>
      </c>
      <c r="F1006" t="s">
        <v>19</v>
      </c>
      <c r="G1006">
        <v>980000</v>
      </c>
      <c r="H1006" s="1">
        <v>44249</v>
      </c>
      <c r="I1006">
        <v>2021</v>
      </c>
      <c r="J1006" t="s">
        <v>108</v>
      </c>
      <c r="K1006">
        <v>2</v>
      </c>
      <c r="L1006" t="s">
        <v>21</v>
      </c>
      <c r="M1006" t="s">
        <v>22</v>
      </c>
      <c r="N1006" t="s">
        <v>47</v>
      </c>
    </row>
    <row r="1007" spans="1:14" x14ac:dyDescent="0.3">
      <c r="A1007" t="s">
        <v>58</v>
      </c>
      <c r="B1007" t="s">
        <v>25</v>
      </c>
      <c r="C1007" t="s">
        <v>168</v>
      </c>
      <c r="D1007" t="s">
        <v>54</v>
      </c>
      <c r="E1007" t="s">
        <v>91</v>
      </c>
      <c r="F1007" t="s">
        <v>19</v>
      </c>
      <c r="G1007">
        <v>568000</v>
      </c>
      <c r="H1007" s="1">
        <v>45149</v>
      </c>
      <c r="I1007">
        <v>2023</v>
      </c>
      <c r="J1007" t="s">
        <v>153</v>
      </c>
      <c r="K1007">
        <v>8</v>
      </c>
      <c r="L1007" t="s">
        <v>21</v>
      </c>
      <c r="M1007" t="s">
        <v>22</v>
      </c>
      <c r="N1007" t="s">
        <v>31</v>
      </c>
    </row>
    <row r="1008" spans="1:14" x14ac:dyDescent="0.3">
      <c r="A1008" t="s">
        <v>347</v>
      </c>
      <c r="B1008" t="s">
        <v>94</v>
      </c>
      <c r="C1008" t="s">
        <v>95</v>
      </c>
      <c r="D1008" t="s">
        <v>44</v>
      </c>
      <c r="E1008" t="s">
        <v>217</v>
      </c>
      <c r="F1008" t="s">
        <v>175</v>
      </c>
      <c r="G1008">
        <v>246176000</v>
      </c>
      <c r="H1008" s="1">
        <v>44509</v>
      </c>
      <c r="I1008">
        <v>2021</v>
      </c>
      <c r="J1008" t="s">
        <v>72</v>
      </c>
      <c r="K1008">
        <v>11</v>
      </c>
      <c r="L1008" t="s">
        <v>65</v>
      </c>
      <c r="M1008" t="s">
        <v>66</v>
      </c>
      <c r="N1008" t="s">
        <v>40</v>
      </c>
    </row>
    <row r="1009" spans="1:14" x14ac:dyDescent="0.3">
      <c r="A1009" t="s">
        <v>48</v>
      </c>
      <c r="B1009" t="s">
        <v>49</v>
      </c>
      <c r="C1009" t="s">
        <v>135</v>
      </c>
      <c r="D1009" t="s">
        <v>44</v>
      </c>
      <c r="E1009" t="s">
        <v>690</v>
      </c>
      <c r="F1009" t="s">
        <v>103</v>
      </c>
      <c r="G1009">
        <v>9971000</v>
      </c>
      <c r="H1009" s="1">
        <v>44612</v>
      </c>
      <c r="I1009">
        <v>2022</v>
      </c>
      <c r="J1009" t="s">
        <v>108</v>
      </c>
      <c r="K1009">
        <v>2</v>
      </c>
      <c r="L1009" t="s">
        <v>38</v>
      </c>
      <c r="M1009" t="s">
        <v>30</v>
      </c>
      <c r="N1009" t="s">
        <v>40</v>
      </c>
    </row>
    <row r="1010" spans="1:14" x14ac:dyDescent="0.3">
      <c r="A1010" t="s">
        <v>691</v>
      </c>
      <c r="B1010" t="s">
        <v>42</v>
      </c>
      <c r="C1010" t="s">
        <v>182</v>
      </c>
      <c r="D1010" t="s">
        <v>44</v>
      </c>
      <c r="E1010" t="s">
        <v>231</v>
      </c>
      <c r="F1010" t="s">
        <v>19</v>
      </c>
      <c r="G1010">
        <v>126000</v>
      </c>
      <c r="H1010" s="1">
        <v>44120</v>
      </c>
      <c r="I1010">
        <v>2020</v>
      </c>
      <c r="J1010" t="s">
        <v>89</v>
      </c>
      <c r="K1010">
        <v>10</v>
      </c>
      <c r="L1010" t="s">
        <v>21</v>
      </c>
      <c r="M1010" t="s">
        <v>22</v>
      </c>
      <c r="N1010" t="s">
        <v>47</v>
      </c>
    </row>
    <row r="1011" spans="1:14" x14ac:dyDescent="0.3">
      <c r="A1011" t="s">
        <v>370</v>
      </c>
      <c r="B1011" t="s">
        <v>126</v>
      </c>
      <c r="C1011" t="s">
        <v>127</v>
      </c>
      <c r="D1011" t="s">
        <v>44</v>
      </c>
      <c r="E1011" t="s">
        <v>206</v>
      </c>
      <c r="F1011" t="s">
        <v>19</v>
      </c>
      <c r="G1011">
        <v>304000</v>
      </c>
      <c r="H1011" s="1">
        <v>43991</v>
      </c>
      <c r="I1011">
        <v>2020</v>
      </c>
      <c r="J1011" t="s">
        <v>141</v>
      </c>
      <c r="K1011">
        <v>6</v>
      </c>
      <c r="L1011" t="s">
        <v>21</v>
      </c>
      <c r="M1011" t="s">
        <v>22</v>
      </c>
      <c r="N1011" t="s">
        <v>40</v>
      </c>
    </row>
    <row r="1012" spans="1:14" x14ac:dyDescent="0.3">
      <c r="A1012" t="s">
        <v>412</v>
      </c>
      <c r="B1012" t="s">
        <v>105</v>
      </c>
      <c r="C1012" t="s">
        <v>345</v>
      </c>
      <c r="D1012" t="s">
        <v>34</v>
      </c>
      <c r="E1012" t="s">
        <v>692</v>
      </c>
      <c r="F1012" t="s">
        <v>19</v>
      </c>
      <c r="G1012">
        <v>113000</v>
      </c>
      <c r="H1012" s="1">
        <v>44749</v>
      </c>
      <c r="I1012">
        <v>2022</v>
      </c>
      <c r="J1012" t="s">
        <v>57</v>
      </c>
      <c r="K1012">
        <v>7</v>
      </c>
      <c r="L1012" t="s">
        <v>21</v>
      </c>
      <c r="M1012" t="s">
        <v>22</v>
      </c>
      <c r="N1012" t="s">
        <v>23</v>
      </c>
    </row>
    <row r="1013" spans="1:14" x14ac:dyDescent="0.3">
      <c r="A1013" t="s">
        <v>326</v>
      </c>
      <c r="B1013" t="s">
        <v>68</v>
      </c>
      <c r="C1013" t="s">
        <v>69</v>
      </c>
      <c r="D1013" t="s">
        <v>54</v>
      </c>
      <c r="E1013" t="s">
        <v>693</v>
      </c>
      <c r="F1013" t="s">
        <v>103</v>
      </c>
      <c r="G1013">
        <v>14507000</v>
      </c>
      <c r="H1013" s="1">
        <v>44696</v>
      </c>
      <c r="I1013">
        <v>2022</v>
      </c>
      <c r="J1013" t="s">
        <v>77</v>
      </c>
      <c r="K1013">
        <v>5</v>
      </c>
      <c r="L1013" t="s">
        <v>38</v>
      </c>
      <c r="M1013" t="s">
        <v>39</v>
      </c>
      <c r="N1013" t="s">
        <v>31</v>
      </c>
    </row>
    <row r="1014" spans="1:14" x14ac:dyDescent="0.3">
      <c r="A1014" t="s">
        <v>73</v>
      </c>
      <c r="B1014" t="s">
        <v>59</v>
      </c>
      <c r="C1014" t="s">
        <v>149</v>
      </c>
      <c r="D1014" t="s">
        <v>27</v>
      </c>
      <c r="E1014" t="s">
        <v>293</v>
      </c>
      <c r="F1014" t="s">
        <v>132</v>
      </c>
      <c r="G1014">
        <v>257828000</v>
      </c>
      <c r="H1014" s="1">
        <v>44706</v>
      </c>
      <c r="I1014">
        <v>2022</v>
      </c>
      <c r="J1014" t="s">
        <v>77</v>
      </c>
      <c r="K1014">
        <v>5</v>
      </c>
      <c r="L1014" t="s">
        <v>65</v>
      </c>
      <c r="M1014" t="s">
        <v>66</v>
      </c>
      <c r="N1014" t="s">
        <v>31</v>
      </c>
    </row>
    <row r="1015" spans="1:14" x14ac:dyDescent="0.3">
      <c r="A1015" t="s">
        <v>249</v>
      </c>
      <c r="B1015" t="s">
        <v>126</v>
      </c>
      <c r="C1015" t="s">
        <v>127</v>
      </c>
      <c r="D1015" t="s">
        <v>54</v>
      </c>
      <c r="E1015" t="s">
        <v>97</v>
      </c>
      <c r="F1015" t="s">
        <v>103</v>
      </c>
      <c r="G1015">
        <v>1113000</v>
      </c>
      <c r="H1015" s="1">
        <v>44190</v>
      </c>
      <c r="I1015">
        <v>2020</v>
      </c>
      <c r="J1015" t="s">
        <v>99</v>
      </c>
      <c r="K1015">
        <v>12</v>
      </c>
      <c r="L1015" t="s">
        <v>38</v>
      </c>
      <c r="M1015" t="s">
        <v>30</v>
      </c>
      <c r="N1015" t="s">
        <v>40</v>
      </c>
    </row>
    <row r="1016" spans="1:14" x14ac:dyDescent="0.3">
      <c r="A1016" t="s">
        <v>467</v>
      </c>
      <c r="B1016" t="s">
        <v>42</v>
      </c>
      <c r="C1016" t="s">
        <v>43</v>
      </c>
      <c r="D1016" t="s">
        <v>136</v>
      </c>
      <c r="E1016" t="s">
        <v>301</v>
      </c>
      <c r="F1016" t="s">
        <v>103</v>
      </c>
      <c r="G1016">
        <v>6758000</v>
      </c>
      <c r="H1016" s="1">
        <v>44815</v>
      </c>
      <c r="I1016">
        <v>2022</v>
      </c>
      <c r="J1016" t="s">
        <v>46</v>
      </c>
      <c r="K1016">
        <v>9</v>
      </c>
      <c r="L1016" t="s">
        <v>38</v>
      </c>
      <c r="M1016" t="s">
        <v>30</v>
      </c>
      <c r="N1016" t="s">
        <v>47</v>
      </c>
    </row>
    <row r="1017" spans="1:14" x14ac:dyDescent="0.3">
      <c r="A1017" t="s">
        <v>352</v>
      </c>
      <c r="B1017" t="s">
        <v>15</v>
      </c>
      <c r="C1017" t="s">
        <v>74</v>
      </c>
      <c r="D1017" t="s">
        <v>27</v>
      </c>
      <c r="E1017" t="s">
        <v>45</v>
      </c>
      <c r="F1017" t="s">
        <v>64</v>
      </c>
      <c r="G1017">
        <v>574676000</v>
      </c>
      <c r="H1017" s="1">
        <v>45326</v>
      </c>
      <c r="I1017">
        <v>2024</v>
      </c>
      <c r="J1017" t="s">
        <v>108</v>
      </c>
      <c r="K1017">
        <v>2</v>
      </c>
      <c r="L1017" t="s">
        <v>65</v>
      </c>
      <c r="M1017" t="s">
        <v>66</v>
      </c>
      <c r="N1017" t="s">
        <v>23</v>
      </c>
    </row>
    <row r="1018" spans="1:14" x14ac:dyDescent="0.3">
      <c r="A1018" t="s">
        <v>254</v>
      </c>
      <c r="B1018" t="s">
        <v>86</v>
      </c>
      <c r="C1018" t="s">
        <v>339</v>
      </c>
      <c r="D1018" t="s">
        <v>70</v>
      </c>
      <c r="E1018" t="s">
        <v>270</v>
      </c>
      <c r="F1018" t="s">
        <v>19</v>
      </c>
      <c r="G1018">
        <v>97000</v>
      </c>
      <c r="H1018" s="1">
        <v>45035</v>
      </c>
      <c r="I1018">
        <v>2023</v>
      </c>
      <c r="J1018" t="s">
        <v>20</v>
      </c>
      <c r="K1018">
        <v>4</v>
      </c>
      <c r="L1018" t="s">
        <v>21</v>
      </c>
      <c r="M1018" t="s">
        <v>22</v>
      </c>
      <c r="N1018" t="s">
        <v>47</v>
      </c>
    </row>
    <row r="1019" spans="1:14" x14ac:dyDescent="0.3">
      <c r="A1019" t="s">
        <v>313</v>
      </c>
      <c r="B1019" t="s">
        <v>186</v>
      </c>
      <c r="C1019" t="s">
        <v>60</v>
      </c>
      <c r="D1019" t="s">
        <v>75</v>
      </c>
      <c r="E1019" t="s">
        <v>694</v>
      </c>
      <c r="F1019" t="s">
        <v>19</v>
      </c>
      <c r="G1019">
        <v>406000</v>
      </c>
      <c r="H1019" s="1">
        <v>45393</v>
      </c>
      <c r="I1019">
        <v>2024</v>
      </c>
      <c r="J1019" t="s">
        <v>20</v>
      </c>
      <c r="K1019">
        <v>4</v>
      </c>
      <c r="L1019" t="s">
        <v>21</v>
      </c>
      <c r="M1019" t="s">
        <v>22</v>
      </c>
      <c r="N1019" t="s">
        <v>31</v>
      </c>
    </row>
    <row r="1020" spans="1:14" x14ac:dyDescent="0.3">
      <c r="A1020" t="s">
        <v>185</v>
      </c>
      <c r="B1020" t="s">
        <v>42</v>
      </c>
      <c r="C1020" t="s">
        <v>205</v>
      </c>
      <c r="D1020" t="s">
        <v>96</v>
      </c>
      <c r="E1020" t="s">
        <v>397</v>
      </c>
      <c r="F1020" t="s">
        <v>36</v>
      </c>
      <c r="G1020">
        <v>63289000</v>
      </c>
      <c r="H1020" s="1">
        <v>45164</v>
      </c>
      <c r="I1020">
        <v>2023</v>
      </c>
      <c r="J1020" t="s">
        <v>153</v>
      </c>
      <c r="K1020">
        <v>8</v>
      </c>
      <c r="L1020" t="s">
        <v>38</v>
      </c>
      <c r="M1020" t="s">
        <v>39</v>
      </c>
      <c r="N1020" t="s">
        <v>47</v>
      </c>
    </row>
    <row r="1021" spans="1:14" x14ac:dyDescent="0.3">
      <c r="A1021" t="s">
        <v>158</v>
      </c>
      <c r="B1021" t="s">
        <v>114</v>
      </c>
      <c r="C1021" t="s">
        <v>115</v>
      </c>
      <c r="D1021" t="s">
        <v>27</v>
      </c>
      <c r="E1021" t="s">
        <v>217</v>
      </c>
      <c r="F1021" t="s">
        <v>36</v>
      </c>
      <c r="G1021">
        <v>5493000</v>
      </c>
      <c r="H1021" s="1">
        <v>45152</v>
      </c>
      <c r="I1021">
        <v>2023</v>
      </c>
      <c r="J1021" t="s">
        <v>153</v>
      </c>
      <c r="K1021">
        <v>8</v>
      </c>
      <c r="L1021" t="s">
        <v>38</v>
      </c>
      <c r="M1021" t="s">
        <v>30</v>
      </c>
      <c r="N1021" t="s">
        <v>47</v>
      </c>
    </row>
    <row r="1022" spans="1:14" x14ac:dyDescent="0.3">
      <c r="A1022" t="s">
        <v>478</v>
      </c>
      <c r="B1022" t="s">
        <v>105</v>
      </c>
      <c r="C1022" t="s">
        <v>106</v>
      </c>
      <c r="D1022" t="s">
        <v>44</v>
      </c>
      <c r="E1022" t="s">
        <v>695</v>
      </c>
      <c r="F1022" t="s">
        <v>103</v>
      </c>
      <c r="G1022">
        <v>6610000</v>
      </c>
      <c r="H1022" s="1">
        <v>45780</v>
      </c>
      <c r="I1022">
        <v>2025</v>
      </c>
      <c r="J1022" t="s">
        <v>77</v>
      </c>
      <c r="K1022">
        <v>5</v>
      </c>
      <c r="L1022" t="s">
        <v>38</v>
      </c>
      <c r="M1022" t="s">
        <v>30</v>
      </c>
      <c r="N1022" t="s">
        <v>23</v>
      </c>
    </row>
    <row r="1023" spans="1:14" x14ac:dyDescent="0.3">
      <c r="A1023" t="s">
        <v>170</v>
      </c>
      <c r="B1023" t="s">
        <v>126</v>
      </c>
      <c r="C1023" t="s">
        <v>159</v>
      </c>
      <c r="D1023" t="s">
        <v>111</v>
      </c>
      <c r="E1023" t="s">
        <v>165</v>
      </c>
      <c r="F1023" t="s">
        <v>128</v>
      </c>
      <c r="G1023">
        <v>12000</v>
      </c>
      <c r="H1023" s="1">
        <v>45625</v>
      </c>
      <c r="I1023">
        <v>2024</v>
      </c>
      <c r="J1023" t="s">
        <v>72</v>
      </c>
      <c r="K1023">
        <v>11</v>
      </c>
      <c r="L1023" t="s">
        <v>21</v>
      </c>
      <c r="M1023" t="s">
        <v>22</v>
      </c>
      <c r="N1023" t="s">
        <v>40</v>
      </c>
    </row>
    <row r="1024" spans="1:14" x14ac:dyDescent="0.3">
      <c r="A1024" t="s">
        <v>269</v>
      </c>
      <c r="B1024" t="s">
        <v>32</v>
      </c>
      <c r="C1024" t="s">
        <v>101</v>
      </c>
      <c r="D1024" t="s">
        <v>136</v>
      </c>
      <c r="E1024" t="s">
        <v>397</v>
      </c>
      <c r="F1024" t="s">
        <v>103</v>
      </c>
      <c r="G1024">
        <v>12223000</v>
      </c>
      <c r="H1024" s="1">
        <v>45334</v>
      </c>
      <c r="I1024">
        <v>2024</v>
      </c>
      <c r="J1024" t="s">
        <v>108</v>
      </c>
      <c r="K1024">
        <v>2</v>
      </c>
      <c r="L1024" t="s">
        <v>38</v>
      </c>
      <c r="M1024" t="s">
        <v>39</v>
      </c>
      <c r="N1024" t="s">
        <v>40</v>
      </c>
    </row>
    <row r="1025" spans="1:14" x14ac:dyDescent="0.3">
      <c r="A1025" t="s">
        <v>198</v>
      </c>
      <c r="B1025" t="s">
        <v>186</v>
      </c>
      <c r="C1025" t="s">
        <v>149</v>
      </c>
      <c r="D1025" t="s">
        <v>96</v>
      </c>
      <c r="E1025" t="s">
        <v>696</v>
      </c>
      <c r="F1025" t="s">
        <v>132</v>
      </c>
      <c r="G1025">
        <v>277385000</v>
      </c>
      <c r="H1025" s="1">
        <v>44381</v>
      </c>
      <c r="I1025">
        <v>2021</v>
      </c>
      <c r="J1025" t="s">
        <v>57</v>
      </c>
      <c r="K1025">
        <v>7</v>
      </c>
      <c r="L1025" t="s">
        <v>65</v>
      </c>
      <c r="M1025" t="s">
        <v>66</v>
      </c>
      <c r="N1025" t="s">
        <v>31</v>
      </c>
    </row>
    <row r="1026" spans="1:14" x14ac:dyDescent="0.3">
      <c r="A1026" t="s">
        <v>507</v>
      </c>
      <c r="B1026" t="s">
        <v>114</v>
      </c>
      <c r="C1026" t="s">
        <v>115</v>
      </c>
      <c r="D1026" t="s">
        <v>27</v>
      </c>
      <c r="E1026" t="s">
        <v>460</v>
      </c>
      <c r="F1026" t="s">
        <v>19</v>
      </c>
      <c r="G1026">
        <v>1628000</v>
      </c>
      <c r="H1026" s="1">
        <v>45415</v>
      </c>
      <c r="I1026">
        <v>2024</v>
      </c>
      <c r="J1026" t="s">
        <v>77</v>
      </c>
      <c r="K1026">
        <v>5</v>
      </c>
      <c r="L1026" t="s">
        <v>21</v>
      </c>
      <c r="M1026" t="s">
        <v>30</v>
      </c>
      <c r="N1026" t="s">
        <v>47</v>
      </c>
    </row>
    <row r="1027" spans="1:14" x14ac:dyDescent="0.3">
      <c r="A1027" t="s">
        <v>408</v>
      </c>
      <c r="B1027" t="s">
        <v>105</v>
      </c>
      <c r="C1027" t="s">
        <v>345</v>
      </c>
      <c r="D1027" t="s">
        <v>96</v>
      </c>
      <c r="E1027" t="s">
        <v>226</v>
      </c>
      <c r="F1027" t="s">
        <v>19</v>
      </c>
      <c r="G1027">
        <v>288000</v>
      </c>
      <c r="H1027" s="1">
        <v>44106</v>
      </c>
      <c r="I1027">
        <v>2020</v>
      </c>
      <c r="J1027" t="s">
        <v>89</v>
      </c>
      <c r="K1027">
        <v>10</v>
      </c>
      <c r="L1027" t="s">
        <v>21</v>
      </c>
      <c r="M1027" t="s">
        <v>22</v>
      </c>
      <c r="N1027" t="s">
        <v>23</v>
      </c>
    </row>
    <row r="1028" spans="1:14" x14ac:dyDescent="0.3">
      <c r="A1028" t="s">
        <v>261</v>
      </c>
      <c r="B1028" t="s">
        <v>42</v>
      </c>
      <c r="C1028" t="s">
        <v>205</v>
      </c>
      <c r="D1028" t="s">
        <v>44</v>
      </c>
      <c r="E1028" t="s">
        <v>697</v>
      </c>
      <c r="F1028" t="s">
        <v>19</v>
      </c>
      <c r="G1028">
        <v>1202000</v>
      </c>
      <c r="H1028" s="1">
        <v>43951</v>
      </c>
      <c r="I1028">
        <v>2020</v>
      </c>
      <c r="J1028" t="s">
        <v>20</v>
      </c>
      <c r="K1028">
        <v>4</v>
      </c>
      <c r="L1028" t="s">
        <v>21</v>
      </c>
      <c r="M1028" t="s">
        <v>30</v>
      </c>
      <c r="N1028" t="s">
        <v>47</v>
      </c>
    </row>
    <row r="1029" spans="1:14" x14ac:dyDescent="0.3">
      <c r="A1029" t="s">
        <v>125</v>
      </c>
      <c r="B1029" t="s">
        <v>42</v>
      </c>
      <c r="C1029" t="s">
        <v>205</v>
      </c>
      <c r="D1029" t="s">
        <v>75</v>
      </c>
      <c r="E1029" t="s">
        <v>112</v>
      </c>
      <c r="F1029" t="s">
        <v>19</v>
      </c>
      <c r="G1029">
        <v>1127000</v>
      </c>
      <c r="H1029" s="1">
        <v>45134</v>
      </c>
      <c r="I1029">
        <v>2023</v>
      </c>
      <c r="J1029" t="s">
        <v>57</v>
      </c>
      <c r="K1029">
        <v>7</v>
      </c>
      <c r="L1029" t="s">
        <v>21</v>
      </c>
      <c r="M1029" t="s">
        <v>30</v>
      </c>
      <c r="N1029" t="s">
        <v>47</v>
      </c>
    </row>
    <row r="1030" spans="1:14" x14ac:dyDescent="0.3">
      <c r="A1030" t="s">
        <v>394</v>
      </c>
      <c r="B1030" t="s">
        <v>94</v>
      </c>
      <c r="C1030" t="s">
        <v>95</v>
      </c>
      <c r="D1030" t="s">
        <v>96</v>
      </c>
      <c r="E1030" t="s">
        <v>613</v>
      </c>
      <c r="F1030" t="s">
        <v>117</v>
      </c>
      <c r="G1030">
        <v>42000</v>
      </c>
      <c r="H1030" s="1">
        <v>44311</v>
      </c>
      <c r="I1030">
        <v>2021</v>
      </c>
      <c r="J1030" t="s">
        <v>20</v>
      </c>
      <c r="K1030">
        <v>4</v>
      </c>
      <c r="L1030" t="s">
        <v>21</v>
      </c>
      <c r="M1030" t="s">
        <v>22</v>
      </c>
      <c r="N1030" t="s">
        <v>40</v>
      </c>
    </row>
    <row r="1031" spans="1:14" x14ac:dyDescent="0.3">
      <c r="A1031" t="s">
        <v>698</v>
      </c>
      <c r="B1031" t="s">
        <v>59</v>
      </c>
      <c r="C1031" t="s">
        <v>123</v>
      </c>
      <c r="D1031" t="s">
        <v>75</v>
      </c>
      <c r="E1031" t="s">
        <v>18</v>
      </c>
      <c r="F1031" t="s">
        <v>132</v>
      </c>
      <c r="G1031">
        <v>188760000</v>
      </c>
      <c r="H1031" s="1">
        <v>43916</v>
      </c>
      <c r="I1031">
        <v>2020</v>
      </c>
      <c r="J1031" t="s">
        <v>37</v>
      </c>
      <c r="K1031">
        <v>3</v>
      </c>
      <c r="L1031" t="s">
        <v>65</v>
      </c>
      <c r="M1031" t="s">
        <v>66</v>
      </c>
      <c r="N1031" t="s">
        <v>31</v>
      </c>
    </row>
    <row r="1032" spans="1:14" x14ac:dyDescent="0.3">
      <c r="A1032" t="s">
        <v>507</v>
      </c>
      <c r="B1032" t="s">
        <v>32</v>
      </c>
      <c r="C1032" t="s">
        <v>138</v>
      </c>
      <c r="D1032" t="s">
        <v>70</v>
      </c>
      <c r="E1032" t="s">
        <v>457</v>
      </c>
      <c r="F1032" t="s">
        <v>103</v>
      </c>
      <c r="G1032">
        <v>1105000</v>
      </c>
      <c r="H1032" s="1">
        <v>44521</v>
      </c>
      <c r="I1032">
        <v>2021</v>
      </c>
      <c r="J1032" t="s">
        <v>72</v>
      </c>
      <c r="K1032">
        <v>11</v>
      </c>
      <c r="L1032" t="s">
        <v>38</v>
      </c>
      <c r="M1032" t="s">
        <v>30</v>
      </c>
      <c r="N1032" t="s">
        <v>40</v>
      </c>
    </row>
    <row r="1033" spans="1:14" x14ac:dyDescent="0.3">
      <c r="A1033" t="s">
        <v>305</v>
      </c>
      <c r="B1033" t="s">
        <v>114</v>
      </c>
      <c r="C1033" t="s">
        <v>156</v>
      </c>
      <c r="D1033" t="s">
        <v>96</v>
      </c>
      <c r="E1033" t="s">
        <v>563</v>
      </c>
      <c r="F1033" t="s">
        <v>36</v>
      </c>
      <c r="G1033">
        <v>26119000</v>
      </c>
      <c r="H1033" s="1">
        <v>44606</v>
      </c>
      <c r="I1033">
        <v>2022</v>
      </c>
      <c r="J1033" t="s">
        <v>108</v>
      </c>
      <c r="K1033">
        <v>2</v>
      </c>
      <c r="L1033" t="s">
        <v>38</v>
      </c>
      <c r="M1033" t="s">
        <v>39</v>
      </c>
      <c r="N1033" t="s">
        <v>47</v>
      </c>
    </row>
    <row r="1034" spans="1:14" x14ac:dyDescent="0.3">
      <c r="A1034" t="s">
        <v>282</v>
      </c>
      <c r="B1034" t="s">
        <v>81</v>
      </c>
      <c r="C1034" t="s">
        <v>90</v>
      </c>
      <c r="D1034" t="s">
        <v>136</v>
      </c>
      <c r="E1034" t="s">
        <v>157</v>
      </c>
      <c r="F1034" t="s">
        <v>36</v>
      </c>
      <c r="G1034">
        <v>9461000</v>
      </c>
      <c r="H1034" s="1">
        <v>45649</v>
      </c>
      <c r="I1034">
        <v>2024</v>
      </c>
      <c r="J1034" t="s">
        <v>99</v>
      </c>
      <c r="K1034">
        <v>12</v>
      </c>
      <c r="L1034" t="s">
        <v>38</v>
      </c>
      <c r="M1034" t="s">
        <v>30</v>
      </c>
      <c r="N1034" t="s">
        <v>84</v>
      </c>
    </row>
    <row r="1035" spans="1:14" x14ac:dyDescent="0.3">
      <c r="A1035" t="s">
        <v>145</v>
      </c>
      <c r="B1035" t="s">
        <v>94</v>
      </c>
      <c r="C1035" t="s">
        <v>146</v>
      </c>
      <c r="D1035" t="s">
        <v>44</v>
      </c>
      <c r="E1035" t="s">
        <v>699</v>
      </c>
      <c r="F1035" t="s">
        <v>56</v>
      </c>
      <c r="G1035">
        <v>132000</v>
      </c>
      <c r="H1035" s="1">
        <v>45097</v>
      </c>
      <c r="I1035">
        <v>2023</v>
      </c>
      <c r="J1035" t="s">
        <v>141</v>
      </c>
      <c r="K1035">
        <v>6</v>
      </c>
      <c r="L1035" t="s">
        <v>38</v>
      </c>
      <c r="M1035" t="s">
        <v>22</v>
      </c>
      <c r="N1035" t="s">
        <v>40</v>
      </c>
    </row>
    <row r="1036" spans="1:14" x14ac:dyDescent="0.3">
      <c r="A1036" t="s">
        <v>700</v>
      </c>
      <c r="B1036" t="s">
        <v>49</v>
      </c>
      <c r="C1036" t="s">
        <v>225</v>
      </c>
      <c r="D1036" t="s">
        <v>27</v>
      </c>
      <c r="E1036" t="s">
        <v>61</v>
      </c>
      <c r="F1036" t="s">
        <v>36</v>
      </c>
      <c r="G1036">
        <v>6189000</v>
      </c>
      <c r="H1036" s="1">
        <v>45619</v>
      </c>
      <c r="I1036">
        <v>2024</v>
      </c>
      <c r="J1036" t="s">
        <v>72</v>
      </c>
      <c r="K1036">
        <v>11</v>
      </c>
      <c r="L1036" t="s">
        <v>38</v>
      </c>
      <c r="M1036" t="s">
        <v>30</v>
      </c>
      <c r="N1036" t="s">
        <v>40</v>
      </c>
    </row>
    <row r="1037" spans="1:14" x14ac:dyDescent="0.3">
      <c r="A1037" t="s">
        <v>267</v>
      </c>
      <c r="B1037" t="s">
        <v>15</v>
      </c>
      <c r="C1037" t="s">
        <v>53</v>
      </c>
      <c r="D1037" t="s">
        <v>136</v>
      </c>
      <c r="E1037" t="s">
        <v>97</v>
      </c>
      <c r="F1037" t="s">
        <v>36</v>
      </c>
      <c r="G1037">
        <v>34466000</v>
      </c>
      <c r="H1037" s="1">
        <v>45457</v>
      </c>
      <c r="I1037">
        <v>2024</v>
      </c>
      <c r="J1037" t="s">
        <v>141</v>
      </c>
      <c r="K1037">
        <v>6</v>
      </c>
      <c r="L1037" t="s">
        <v>38</v>
      </c>
      <c r="M1037" t="s">
        <v>39</v>
      </c>
      <c r="N1037" t="s">
        <v>23</v>
      </c>
    </row>
    <row r="1038" spans="1:14" x14ac:dyDescent="0.3">
      <c r="A1038" t="s">
        <v>41</v>
      </c>
      <c r="B1038" t="s">
        <v>114</v>
      </c>
      <c r="C1038" t="s">
        <v>243</v>
      </c>
      <c r="D1038" t="s">
        <v>17</v>
      </c>
      <c r="E1038" t="s">
        <v>599</v>
      </c>
      <c r="F1038" t="s">
        <v>36</v>
      </c>
      <c r="G1038">
        <v>12830000</v>
      </c>
      <c r="H1038" s="1">
        <v>44432</v>
      </c>
      <c r="I1038">
        <v>2021</v>
      </c>
      <c r="J1038" t="s">
        <v>153</v>
      </c>
      <c r="K1038">
        <v>8</v>
      </c>
      <c r="L1038" t="s">
        <v>38</v>
      </c>
      <c r="M1038" t="s">
        <v>39</v>
      </c>
      <c r="N1038" t="s">
        <v>47</v>
      </c>
    </row>
    <row r="1039" spans="1:14" x14ac:dyDescent="0.3">
      <c r="A1039" t="s">
        <v>93</v>
      </c>
      <c r="B1039" t="s">
        <v>81</v>
      </c>
      <c r="C1039" t="s">
        <v>130</v>
      </c>
      <c r="D1039" t="s">
        <v>70</v>
      </c>
      <c r="E1039" t="s">
        <v>227</v>
      </c>
      <c r="F1039" t="s">
        <v>132</v>
      </c>
      <c r="G1039">
        <v>142371000</v>
      </c>
      <c r="H1039" s="1">
        <v>44448</v>
      </c>
      <c r="I1039">
        <v>2021</v>
      </c>
      <c r="J1039" t="s">
        <v>46</v>
      </c>
      <c r="K1039">
        <v>9</v>
      </c>
      <c r="L1039" t="s">
        <v>65</v>
      </c>
      <c r="M1039" t="s">
        <v>66</v>
      </c>
      <c r="N1039" t="s">
        <v>84</v>
      </c>
    </row>
    <row r="1040" spans="1:14" x14ac:dyDescent="0.3">
      <c r="A1040" t="s">
        <v>277</v>
      </c>
      <c r="B1040" t="s">
        <v>42</v>
      </c>
      <c r="C1040" t="s">
        <v>205</v>
      </c>
      <c r="D1040" t="s">
        <v>111</v>
      </c>
      <c r="E1040" t="s">
        <v>293</v>
      </c>
      <c r="F1040" t="s">
        <v>19</v>
      </c>
      <c r="G1040">
        <v>64000</v>
      </c>
      <c r="H1040" s="1">
        <v>44264</v>
      </c>
      <c r="I1040">
        <v>2021</v>
      </c>
      <c r="J1040" t="s">
        <v>37</v>
      </c>
      <c r="K1040">
        <v>3</v>
      </c>
      <c r="L1040" t="s">
        <v>21</v>
      </c>
      <c r="M1040" t="s">
        <v>22</v>
      </c>
      <c r="N1040" t="s">
        <v>47</v>
      </c>
    </row>
    <row r="1041" spans="1:14" x14ac:dyDescent="0.3">
      <c r="A1041" t="s">
        <v>198</v>
      </c>
      <c r="B1041" t="s">
        <v>186</v>
      </c>
      <c r="C1041" t="s">
        <v>60</v>
      </c>
      <c r="D1041" t="s">
        <v>27</v>
      </c>
      <c r="E1041" t="s">
        <v>369</v>
      </c>
      <c r="F1041" t="s">
        <v>19</v>
      </c>
      <c r="G1041">
        <v>160000</v>
      </c>
      <c r="H1041" s="1">
        <v>45733</v>
      </c>
      <c r="I1041">
        <v>2025</v>
      </c>
      <c r="J1041" t="s">
        <v>37</v>
      </c>
      <c r="K1041">
        <v>3</v>
      </c>
      <c r="L1041" t="s">
        <v>21</v>
      </c>
      <c r="M1041" t="s">
        <v>22</v>
      </c>
      <c r="N1041" t="s">
        <v>31</v>
      </c>
    </row>
    <row r="1042" spans="1:14" x14ac:dyDescent="0.3">
      <c r="A1042" t="s">
        <v>137</v>
      </c>
      <c r="B1042" t="s">
        <v>94</v>
      </c>
      <c r="C1042" t="s">
        <v>146</v>
      </c>
      <c r="D1042" t="s">
        <v>70</v>
      </c>
      <c r="E1042" t="s">
        <v>315</v>
      </c>
      <c r="F1042" t="s">
        <v>188</v>
      </c>
      <c r="G1042">
        <v>366000</v>
      </c>
      <c r="H1042" s="1">
        <v>45204</v>
      </c>
      <c r="I1042">
        <v>2023</v>
      </c>
      <c r="J1042" t="s">
        <v>89</v>
      </c>
      <c r="K1042">
        <v>10</v>
      </c>
      <c r="L1042" t="s">
        <v>38</v>
      </c>
      <c r="M1042" t="s">
        <v>22</v>
      </c>
      <c r="N1042" t="s">
        <v>40</v>
      </c>
    </row>
    <row r="1043" spans="1:14" x14ac:dyDescent="0.3">
      <c r="A1043" t="s">
        <v>272</v>
      </c>
      <c r="B1043" t="s">
        <v>25</v>
      </c>
      <c r="C1043" t="s">
        <v>168</v>
      </c>
      <c r="D1043" t="s">
        <v>44</v>
      </c>
      <c r="E1043" t="s">
        <v>377</v>
      </c>
      <c r="F1043" t="s">
        <v>128</v>
      </c>
      <c r="G1043">
        <v>53000</v>
      </c>
      <c r="H1043" s="1">
        <v>45400</v>
      </c>
      <c r="I1043">
        <v>2024</v>
      </c>
      <c r="J1043" t="s">
        <v>20</v>
      </c>
      <c r="K1043">
        <v>4</v>
      </c>
      <c r="L1043" t="s">
        <v>21</v>
      </c>
      <c r="M1043" t="s">
        <v>22</v>
      </c>
      <c r="N1043" t="s">
        <v>31</v>
      </c>
    </row>
    <row r="1044" spans="1:14" x14ac:dyDescent="0.3">
      <c r="A1044" t="s">
        <v>214</v>
      </c>
      <c r="B1044" t="s">
        <v>59</v>
      </c>
      <c r="C1044" t="s">
        <v>60</v>
      </c>
      <c r="D1044" t="s">
        <v>136</v>
      </c>
      <c r="E1044" t="s">
        <v>231</v>
      </c>
      <c r="F1044" t="s">
        <v>132</v>
      </c>
      <c r="G1044">
        <v>47415000</v>
      </c>
      <c r="H1044" s="1">
        <v>44288</v>
      </c>
      <c r="I1044">
        <v>2021</v>
      </c>
      <c r="J1044" t="s">
        <v>20</v>
      </c>
      <c r="K1044">
        <v>4</v>
      </c>
      <c r="L1044" t="s">
        <v>65</v>
      </c>
      <c r="M1044" t="s">
        <v>39</v>
      </c>
      <c r="N1044" t="s">
        <v>31</v>
      </c>
    </row>
    <row r="1045" spans="1:14" x14ac:dyDescent="0.3">
      <c r="A1045" t="s">
        <v>198</v>
      </c>
      <c r="B1045" t="s">
        <v>186</v>
      </c>
      <c r="C1045" t="s">
        <v>187</v>
      </c>
      <c r="D1045" t="s">
        <v>96</v>
      </c>
      <c r="E1045" t="s">
        <v>293</v>
      </c>
      <c r="F1045" t="s">
        <v>36</v>
      </c>
      <c r="G1045">
        <v>28354000</v>
      </c>
      <c r="H1045" s="1">
        <v>45750</v>
      </c>
      <c r="I1045">
        <v>2025</v>
      </c>
      <c r="J1045" t="s">
        <v>20</v>
      </c>
      <c r="K1045">
        <v>4</v>
      </c>
      <c r="L1045" t="s">
        <v>38</v>
      </c>
      <c r="M1045" t="s">
        <v>39</v>
      </c>
      <c r="N1045" t="s">
        <v>31</v>
      </c>
    </row>
    <row r="1046" spans="1:14" x14ac:dyDescent="0.3">
      <c r="A1046" t="s">
        <v>191</v>
      </c>
      <c r="B1046" t="s">
        <v>126</v>
      </c>
      <c r="C1046" t="s">
        <v>265</v>
      </c>
      <c r="D1046" t="s">
        <v>54</v>
      </c>
      <c r="E1046" t="s">
        <v>150</v>
      </c>
      <c r="F1046" t="s">
        <v>175</v>
      </c>
      <c r="G1046">
        <v>384546000</v>
      </c>
      <c r="H1046" s="1">
        <v>45784</v>
      </c>
      <c r="I1046">
        <v>2025</v>
      </c>
      <c r="J1046" t="s">
        <v>77</v>
      </c>
      <c r="K1046">
        <v>5</v>
      </c>
      <c r="L1046" t="s">
        <v>65</v>
      </c>
      <c r="M1046" t="s">
        <v>66</v>
      </c>
      <c r="N1046" t="s">
        <v>40</v>
      </c>
    </row>
    <row r="1047" spans="1:14" x14ac:dyDescent="0.3">
      <c r="A1047" t="s">
        <v>368</v>
      </c>
      <c r="B1047" t="s">
        <v>15</v>
      </c>
      <c r="C1047" t="s">
        <v>53</v>
      </c>
      <c r="D1047" t="s">
        <v>136</v>
      </c>
      <c r="E1047" t="s">
        <v>701</v>
      </c>
      <c r="F1047" t="s">
        <v>19</v>
      </c>
      <c r="G1047">
        <v>485000</v>
      </c>
      <c r="H1047" s="1">
        <v>44578</v>
      </c>
      <c r="I1047">
        <v>2022</v>
      </c>
      <c r="J1047" t="s">
        <v>29</v>
      </c>
      <c r="K1047">
        <v>1</v>
      </c>
      <c r="L1047" t="s">
        <v>21</v>
      </c>
      <c r="M1047" t="s">
        <v>22</v>
      </c>
      <c r="N1047" t="s">
        <v>23</v>
      </c>
    </row>
    <row r="1048" spans="1:14" x14ac:dyDescent="0.3">
      <c r="A1048" t="s">
        <v>297</v>
      </c>
      <c r="B1048" t="s">
        <v>81</v>
      </c>
      <c r="C1048" t="s">
        <v>82</v>
      </c>
      <c r="D1048" t="s">
        <v>70</v>
      </c>
      <c r="E1048" t="s">
        <v>242</v>
      </c>
      <c r="F1048" t="s">
        <v>19</v>
      </c>
      <c r="G1048">
        <v>118000</v>
      </c>
      <c r="H1048" s="1">
        <v>45502</v>
      </c>
      <c r="I1048">
        <v>2024</v>
      </c>
      <c r="J1048" t="s">
        <v>57</v>
      </c>
      <c r="K1048">
        <v>7</v>
      </c>
      <c r="L1048" t="s">
        <v>21</v>
      </c>
      <c r="M1048" t="s">
        <v>22</v>
      </c>
      <c r="N1048" t="s">
        <v>84</v>
      </c>
    </row>
    <row r="1049" spans="1:14" x14ac:dyDescent="0.3">
      <c r="A1049" t="s">
        <v>233</v>
      </c>
      <c r="B1049" t="s">
        <v>49</v>
      </c>
      <c r="C1049" t="s">
        <v>225</v>
      </c>
      <c r="D1049" t="s">
        <v>54</v>
      </c>
      <c r="E1049" t="s">
        <v>702</v>
      </c>
      <c r="F1049" t="s">
        <v>103</v>
      </c>
      <c r="G1049">
        <v>1068000</v>
      </c>
      <c r="H1049" s="1">
        <v>44129</v>
      </c>
      <c r="I1049">
        <v>2020</v>
      </c>
      <c r="J1049" t="s">
        <v>89</v>
      </c>
      <c r="K1049">
        <v>10</v>
      </c>
      <c r="L1049" t="s">
        <v>38</v>
      </c>
      <c r="M1049" t="s">
        <v>30</v>
      </c>
      <c r="N1049" t="s">
        <v>40</v>
      </c>
    </row>
    <row r="1050" spans="1:14" x14ac:dyDescent="0.3">
      <c r="A1050" t="s">
        <v>355</v>
      </c>
      <c r="B1050" t="s">
        <v>25</v>
      </c>
      <c r="C1050" t="s">
        <v>171</v>
      </c>
      <c r="D1050" t="s">
        <v>34</v>
      </c>
      <c r="E1050" t="s">
        <v>703</v>
      </c>
      <c r="F1050" t="s">
        <v>92</v>
      </c>
      <c r="G1050">
        <v>22303000</v>
      </c>
      <c r="H1050" s="1">
        <v>45277</v>
      </c>
      <c r="I1050">
        <v>2023</v>
      </c>
      <c r="J1050" t="s">
        <v>99</v>
      </c>
      <c r="K1050">
        <v>12</v>
      </c>
      <c r="L1050" t="s">
        <v>65</v>
      </c>
      <c r="M1050" t="s">
        <v>39</v>
      </c>
      <c r="N1050" t="s">
        <v>31</v>
      </c>
    </row>
    <row r="1051" spans="1:14" x14ac:dyDescent="0.3">
      <c r="A1051" t="s">
        <v>161</v>
      </c>
      <c r="B1051" t="s">
        <v>68</v>
      </c>
      <c r="C1051" t="s">
        <v>324</v>
      </c>
      <c r="D1051" t="s">
        <v>96</v>
      </c>
      <c r="E1051" t="s">
        <v>28</v>
      </c>
      <c r="F1051" t="s">
        <v>19</v>
      </c>
      <c r="G1051">
        <v>54000</v>
      </c>
      <c r="H1051" s="1">
        <v>45298</v>
      </c>
      <c r="I1051">
        <v>2024</v>
      </c>
      <c r="J1051" t="s">
        <v>29</v>
      </c>
      <c r="K1051">
        <v>1</v>
      </c>
      <c r="L1051" t="s">
        <v>21</v>
      </c>
      <c r="M1051" t="s">
        <v>22</v>
      </c>
      <c r="N1051" t="s">
        <v>31</v>
      </c>
    </row>
    <row r="1052" spans="1:14" x14ac:dyDescent="0.3">
      <c r="A1052" t="s">
        <v>366</v>
      </c>
      <c r="B1052" t="s">
        <v>25</v>
      </c>
      <c r="C1052" t="s">
        <v>26</v>
      </c>
      <c r="D1052" t="s">
        <v>27</v>
      </c>
      <c r="E1052" t="s">
        <v>28</v>
      </c>
      <c r="F1052" t="s">
        <v>128</v>
      </c>
      <c r="G1052">
        <v>69000</v>
      </c>
      <c r="H1052" s="1">
        <v>45420</v>
      </c>
      <c r="I1052">
        <v>2024</v>
      </c>
      <c r="J1052" t="s">
        <v>77</v>
      </c>
      <c r="K1052">
        <v>5</v>
      </c>
      <c r="L1052" t="s">
        <v>21</v>
      </c>
      <c r="M1052" t="s">
        <v>22</v>
      </c>
      <c r="N1052" t="s">
        <v>31</v>
      </c>
    </row>
    <row r="1053" spans="1:14" x14ac:dyDescent="0.3">
      <c r="A1053" t="s">
        <v>351</v>
      </c>
      <c r="B1053" t="s">
        <v>114</v>
      </c>
      <c r="C1053" t="s">
        <v>243</v>
      </c>
      <c r="D1053" t="s">
        <v>54</v>
      </c>
      <c r="E1053" t="s">
        <v>199</v>
      </c>
      <c r="F1053" t="s">
        <v>92</v>
      </c>
      <c r="G1053">
        <v>2677000</v>
      </c>
      <c r="H1053" s="1">
        <v>44953</v>
      </c>
      <c r="I1053">
        <v>2023</v>
      </c>
      <c r="J1053" t="s">
        <v>29</v>
      </c>
      <c r="K1053">
        <v>1</v>
      </c>
      <c r="L1053" t="s">
        <v>65</v>
      </c>
      <c r="M1053" t="s">
        <v>30</v>
      </c>
      <c r="N1053" t="s">
        <v>47</v>
      </c>
    </row>
    <row r="1054" spans="1:14" x14ac:dyDescent="0.3">
      <c r="A1054" t="s">
        <v>185</v>
      </c>
      <c r="B1054" t="s">
        <v>68</v>
      </c>
      <c r="C1054" t="s">
        <v>324</v>
      </c>
      <c r="D1054" t="s">
        <v>111</v>
      </c>
      <c r="E1054" t="s">
        <v>704</v>
      </c>
      <c r="F1054" t="s">
        <v>36</v>
      </c>
      <c r="G1054">
        <v>67565000</v>
      </c>
      <c r="H1054" s="1">
        <v>44409</v>
      </c>
      <c r="I1054">
        <v>2021</v>
      </c>
      <c r="J1054" t="s">
        <v>153</v>
      </c>
      <c r="K1054">
        <v>8</v>
      </c>
      <c r="L1054" t="s">
        <v>38</v>
      </c>
      <c r="M1054" t="s">
        <v>39</v>
      </c>
      <c r="N1054" t="s">
        <v>31</v>
      </c>
    </row>
    <row r="1055" spans="1:14" x14ac:dyDescent="0.3">
      <c r="A1055" t="s">
        <v>257</v>
      </c>
      <c r="B1055" t="s">
        <v>105</v>
      </c>
      <c r="C1055" t="s">
        <v>106</v>
      </c>
      <c r="D1055" t="s">
        <v>75</v>
      </c>
      <c r="E1055" t="s">
        <v>705</v>
      </c>
      <c r="F1055" t="s">
        <v>64</v>
      </c>
      <c r="G1055">
        <v>411602000</v>
      </c>
      <c r="H1055" s="1">
        <v>43941</v>
      </c>
      <c r="I1055">
        <v>2020</v>
      </c>
      <c r="J1055" t="s">
        <v>20</v>
      </c>
      <c r="K1055">
        <v>4</v>
      </c>
      <c r="L1055" t="s">
        <v>65</v>
      </c>
      <c r="M1055" t="s">
        <v>66</v>
      </c>
      <c r="N1055" t="s">
        <v>23</v>
      </c>
    </row>
    <row r="1056" spans="1:14" x14ac:dyDescent="0.3">
      <c r="A1056" t="s">
        <v>58</v>
      </c>
      <c r="B1056" t="s">
        <v>25</v>
      </c>
      <c r="C1056" t="s">
        <v>168</v>
      </c>
      <c r="D1056" t="s">
        <v>34</v>
      </c>
      <c r="E1056" t="s">
        <v>51</v>
      </c>
      <c r="F1056" t="s">
        <v>128</v>
      </c>
      <c r="G1056">
        <v>99000</v>
      </c>
      <c r="H1056" s="1">
        <v>44260</v>
      </c>
      <c r="I1056">
        <v>2021</v>
      </c>
      <c r="J1056" t="s">
        <v>37</v>
      </c>
      <c r="K1056">
        <v>3</v>
      </c>
      <c r="L1056" t="s">
        <v>21</v>
      </c>
      <c r="M1056" t="s">
        <v>22</v>
      </c>
      <c r="N1056" t="s">
        <v>31</v>
      </c>
    </row>
    <row r="1057" spans="1:14" x14ac:dyDescent="0.3">
      <c r="A1057" t="s">
        <v>412</v>
      </c>
      <c r="B1057" t="s">
        <v>81</v>
      </c>
      <c r="C1057" t="s">
        <v>319</v>
      </c>
      <c r="D1057" t="s">
        <v>75</v>
      </c>
      <c r="E1057" t="s">
        <v>97</v>
      </c>
      <c r="F1057" t="s">
        <v>19</v>
      </c>
      <c r="G1057">
        <v>182000</v>
      </c>
      <c r="H1057" s="1">
        <v>45439</v>
      </c>
      <c r="I1057">
        <v>2024</v>
      </c>
      <c r="J1057" t="s">
        <v>77</v>
      </c>
      <c r="K1057">
        <v>5</v>
      </c>
      <c r="L1057" t="s">
        <v>21</v>
      </c>
      <c r="M1057" t="s">
        <v>22</v>
      </c>
      <c r="N1057" t="s">
        <v>84</v>
      </c>
    </row>
    <row r="1058" spans="1:14" x14ac:dyDescent="0.3">
      <c r="A1058" t="s">
        <v>181</v>
      </c>
      <c r="B1058" t="s">
        <v>105</v>
      </c>
      <c r="C1058" t="s">
        <v>162</v>
      </c>
      <c r="D1058" t="s">
        <v>17</v>
      </c>
      <c r="E1058" t="s">
        <v>234</v>
      </c>
      <c r="F1058" t="s">
        <v>56</v>
      </c>
      <c r="G1058">
        <v>585000</v>
      </c>
      <c r="H1058" s="1">
        <v>44801</v>
      </c>
      <c r="I1058">
        <v>2022</v>
      </c>
      <c r="J1058" t="s">
        <v>153</v>
      </c>
      <c r="K1058">
        <v>8</v>
      </c>
      <c r="L1058" t="s">
        <v>38</v>
      </c>
      <c r="M1058" t="s">
        <v>22</v>
      </c>
      <c r="N1058" t="s">
        <v>23</v>
      </c>
    </row>
    <row r="1059" spans="1:14" x14ac:dyDescent="0.3">
      <c r="A1059" t="s">
        <v>14</v>
      </c>
      <c r="B1059" t="s">
        <v>32</v>
      </c>
      <c r="C1059" t="s">
        <v>101</v>
      </c>
      <c r="D1059" t="s">
        <v>96</v>
      </c>
      <c r="E1059" t="s">
        <v>116</v>
      </c>
      <c r="F1059" t="s">
        <v>103</v>
      </c>
      <c r="G1059">
        <v>2970000</v>
      </c>
      <c r="H1059" s="1">
        <v>45817</v>
      </c>
      <c r="I1059">
        <v>2025</v>
      </c>
      <c r="J1059" t="s">
        <v>141</v>
      </c>
      <c r="K1059">
        <v>6</v>
      </c>
      <c r="L1059" t="s">
        <v>38</v>
      </c>
      <c r="M1059" t="s">
        <v>30</v>
      </c>
      <c r="N1059" t="s">
        <v>40</v>
      </c>
    </row>
    <row r="1060" spans="1:14" x14ac:dyDescent="0.3">
      <c r="A1060" t="s">
        <v>232</v>
      </c>
      <c r="B1060" t="s">
        <v>186</v>
      </c>
      <c r="C1060" t="s">
        <v>127</v>
      </c>
      <c r="D1060" t="s">
        <v>136</v>
      </c>
      <c r="E1060" t="s">
        <v>706</v>
      </c>
      <c r="F1060" t="s">
        <v>103</v>
      </c>
      <c r="G1060">
        <v>3668000</v>
      </c>
      <c r="H1060" s="1">
        <v>45239</v>
      </c>
      <c r="I1060">
        <v>2023</v>
      </c>
      <c r="J1060" t="s">
        <v>72</v>
      </c>
      <c r="K1060">
        <v>11</v>
      </c>
      <c r="L1060" t="s">
        <v>38</v>
      </c>
      <c r="M1060" t="s">
        <v>30</v>
      </c>
      <c r="N1060" t="s">
        <v>31</v>
      </c>
    </row>
    <row r="1061" spans="1:14" x14ac:dyDescent="0.3">
      <c r="A1061" t="s">
        <v>193</v>
      </c>
      <c r="B1061" t="s">
        <v>59</v>
      </c>
      <c r="C1061" t="s">
        <v>60</v>
      </c>
      <c r="D1061" t="s">
        <v>17</v>
      </c>
      <c r="E1061" t="s">
        <v>707</v>
      </c>
      <c r="F1061" t="s">
        <v>132</v>
      </c>
      <c r="G1061">
        <v>109404000</v>
      </c>
      <c r="H1061" s="1">
        <v>45602</v>
      </c>
      <c r="I1061">
        <v>2024</v>
      </c>
      <c r="J1061" t="s">
        <v>72</v>
      </c>
      <c r="K1061">
        <v>11</v>
      </c>
      <c r="L1061" t="s">
        <v>65</v>
      </c>
      <c r="M1061" t="s">
        <v>66</v>
      </c>
      <c r="N1061" t="s">
        <v>31</v>
      </c>
    </row>
    <row r="1062" spans="1:14" x14ac:dyDescent="0.3">
      <c r="A1062" t="s">
        <v>466</v>
      </c>
      <c r="B1062" t="s">
        <v>186</v>
      </c>
      <c r="C1062" t="s">
        <v>187</v>
      </c>
      <c r="D1062" t="s">
        <v>70</v>
      </c>
      <c r="E1062" t="s">
        <v>348</v>
      </c>
      <c r="F1062" t="s">
        <v>36</v>
      </c>
      <c r="G1062">
        <v>56361000</v>
      </c>
      <c r="H1062" s="1">
        <v>45691</v>
      </c>
      <c r="I1062">
        <v>2025</v>
      </c>
      <c r="J1062" t="s">
        <v>108</v>
      </c>
      <c r="K1062">
        <v>2</v>
      </c>
      <c r="L1062" t="s">
        <v>38</v>
      </c>
      <c r="M1062" t="s">
        <v>39</v>
      </c>
      <c r="N1062" t="s">
        <v>31</v>
      </c>
    </row>
    <row r="1063" spans="1:14" x14ac:dyDescent="0.3">
      <c r="A1063" t="s">
        <v>480</v>
      </c>
      <c r="B1063" t="s">
        <v>25</v>
      </c>
      <c r="C1063" t="s">
        <v>171</v>
      </c>
      <c r="D1063" t="s">
        <v>75</v>
      </c>
      <c r="E1063" t="s">
        <v>708</v>
      </c>
      <c r="F1063" t="s">
        <v>19</v>
      </c>
      <c r="G1063">
        <v>1886000</v>
      </c>
      <c r="H1063" s="1">
        <v>44822</v>
      </c>
      <c r="I1063">
        <v>2022</v>
      </c>
      <c r="J1063" t="s">
        <v>46</v>
      </c>
      <c r="K1063">
        <v>9</v>
      </c>
      <c r="L1063" t="s">
        <v>21</v>
      </c>
      <c r="M1063" t="s">
        <v>30</v>
      </c>
      <c r="N1063" t="s">
        <v>31</v>
      </c>
    </row>
    <row r="1064" spans="1:14" x14ac:dyDescent="0.3">
      <c r="A1064" t="s">
        <v>709</v>
      </c>
      <c r="B1064" t="s">
        <v>114</v>
      </c>
      <c r="C1064" t="s">
        <v>243</v>
      </c>
      <c r="D1064" t="s">
        <v>54</v>
      </c>
      <c r="E1064" t="s">
        <v>270</v>
      </c>
      <c r="F1064" t="s">
        <v>56</v>
      </c>
      <c r="G1064">
        <v>587000</v>
      </c>
      <c r="H1064" s="1">
        <v>45266</v>
      </c>
      <c r="I1064">
        <v>2023</v>
      </c>
      <c r="J1064" t="s">
        <v>99</v>
      </c>
      <c r="K1064">
        <v>12</v>
      </c>
      <c r="L1064" t="s">
        <v>38</v>
      </c>
      <c r="M1064" t="s">
        <v>22</v>
      </c>
      <c r="N1064" t="s">
        <v>47</v>
      </c>
    </row>
    <row r="1065" spans="1:14" x14ac:dyDescent="0.3">
      <c r="A1065" t="s">
        <v>710</v>
      </c>
      <c r="B1065" t="s">
        <v>114</v>
      </c>
      <c r="C1065" t="s">
        <v>243</v>
      </c>
      <c r="D1065" t="s">
        <v>111</v>
      </c>
      <c r="E1065" t="s">
        <v>711</v>
      </c>
      <c r="F1065" t="s">
        <v>36</v>
      </c>
      <c r="G1065">
        <v>15923000</v>
      </c>
      <c r="H1065" s="1">
        <v>45449</v>
      </c>
      <c r="I1065">
        <v>2024</v>
      </c>
      <c r="J1065" t="s">
        <v>141</v>
      </c>
      <c r="K1065">
        <v>6</v>
      </c>
      <c r="L1065" t="s">
        <v>38</v>
      </c>
      <c r="M1065" t="s">
        <v>39</v>
      </c>
      <c r="N1065" t="s">
        <v>47</v>
      </c>
    </row>
    <row r="1066" spans="1:14" x14ac:dyDescent="0.3">
      <c r="A1066" t="s">
        <v>14</v>
      </c>
      <c r="B1066" t="s">
        <v>105</v>
      </c>
      <c r="C1066" t="s">
        <v>345</v>
      </c>
      <c r="D1066" t="s">
        <v>27</v>
      </c>
      <c r="E1066" t="s">
        <v>231</v>
      </c>
      <c r="F1066" t="s">
        <v>103</v>
      </c>
      <c r="G1066">
        <v>3130000</v>
      </c>
      <c r="H1066" s="1">
        <v>45470</v>
      </c>
      <c r="I1066">
        <v>2024</v>
      </c>
      <c r="J1066" t="s">
        <v>141</v>
      </c>
      <c r="K1066">
        <v>6</v>
      </c>
      <c r="L1066" t="s">
        <v>38</v>
      </c>
      <c r="M1066" t="s">
        <v>30</v>
      </c>
      <c r="N1066" t="s">
        <v>23</v>
      </c>
    </row>
    <row r="1067" spans="1:14" x14ac:dyDescent="0.3">
      <c r="A1067" t="s">
        <v>180</v>
      </c>
      <c r="B1067" t="s">
        <v>49</v>
      </c>
      <c r="C1067" t="s">
        <v>135</v>
      </c>
      <c r="D1067" t="s">
        <v>17</v>
      </c>
      <c r="E1067" t="s">
        <v>112</v>
      </c>
      <c r="F1067" t="s">
        <v>103</v>
      </c>
      <c r="G1067">
        <v>7370000</v>
      </c>
      <c r="H1067" s="1">
        <v>45574</v>
      </c>
      <c r="I1067">
        <v>2024</v>
      </c>
      <c r="J1067" t="s">
        <v>89</v>
      </c>
      <c r="K1067">
        <v>10</v>
      </c>
      <c r="L1067" t="s">
        <v>38</v>
      </c>
      <c r="M1067" t="s">
        <v>30</v>
      </c>
      <c r="N1067" t="s">
        <v>40</v>
      </c>
    </row>
    <row r="1068" spans="1:14" x14ac:dyDescent="0.3">
      <c r="A1068" t="s">
        <v>145</v>
      </c>
      <c r="B1068" t="s">
        <v>86</v>
      </c>
      <c r="C1068" t="s">
        <v>87</v>
      </c>
      <c r="D1068" t="s">
        <v>136</v>
      </c>
      <c r="E1068" t="s">
        <v>217</v>
      </c>
      <c r="F1068" t="s">
        <v>188</v>
      </c>
      <c r="G1068">
        <v>121000</v>
      </c>
      <c r="H1068" s="1">
        <v>45178</v>
      </c>
      <c r="I1068">
        <v>2023</v>
      </c>
      <c r="J1068" t="s">
        <v>46</v>
      </c>
      <c r="K1068">
        <v>9</v>
      </c>
      <c r="L1068" t="s">
        <v>38</v>
      </c>
      <c r="M1068" t="s">
        <v>22</v>
      </c>
      <c r="N1068" t="s">
        <v>47</v>
      </c>
    </row>
    <row r="1069" spans="1:14" x14ac:dyDescent="0.3">
      <c r="A1069" t="s">
        <v>292</v>
      </c>
      <c r="B1069" t="s">
        <v>32</v>
      </c>
      <c r="C1069" t="s">
        <v>138</v>
      </c>
      <c r="D1069" t="s">
        <v>111</v>
      </c>
      <c r="E1069" t="s">
        <v>356</v>
      </c>
      <c r="F1069" t="s">
        <v>103</v>
      </c>
      <c r="G1069">
        <v>1349000</v>
      </c>
      <c r="H1069" s="1">
        <v>45012</v>
      </c>
      <c r="I1069">
        <v>2023</v>
      </c>
      <c r="J1069" t="s">
        <v>37</v>
      </c>
      <c r="K1069">
        <v>3</v>
      </c>
      <c r="L1069" t="s">
        <v>38</v>
      </c>
      <c r="M1069" t="s">
        <v>30</v>
      </c>
      <c r="N1069" t="s">
        <v>40</v>
      </c>
    </row>
    <row r="1070" spans="1:14" x14ac:dyDescent="0.3">
      <c r="A1070" t="s">
        <v>176</v>
      </c>
      <c r="B1070" t="s">
        <v>32</v>
      </c>
      <c r="C1070" t="s">
        <v>33</v>
      </c>
      <c r="D1070" t="s">
        <v>17</v>
      </c>
      <c r="E1070" t="s">
        <v>157</v>
      </c>
      <c r="F1070" t="s">
        <v>36</v>
      </c>
      <c r="G1070">
        <v>13365000</v>
      </c>
      <c r="H1070" s="1">
        <v>43922</v>
      </c>
      <c r="I1070">
        <v>2020</v>
      </c>
      <c r="J1070" t="s">
        <v>20</v>
      </c>
      <c r="K1070">
        <v>4</v>
      </c>
      <c r="L1070" t="s">
        <v>38</v>
      </c>
      <c r="M1070" t="s">
        <v>39</v>
      </c>
      <c r="N1070" t="s">
        <v>40</v>
      </c>
    </row>
    <row r="1071" spans="1:14" x14ac:dyDescent="0.3">
      <c r="A1071" t="s">
        <v>442</v>
      </c>
      <c r="B1071" t="s">
        <v>114</v>
      </c>
      <c r="C1071" t="s">
        <v>156</v>
      </c>
      <c r="D1071" t="s">
        <v>54</v>
      </c>
      <c r="E1071" t="s">
        <v>385</v>
      </c>
      <c r="F1071" t="s">
        <v>103</v>
      </c>
      <c r="G1071">
        <v>2177000</v>
      </c>
      <c r="H1071" s="1">
        <v>44273</v>
      </c>
      <c r="I1071">
        <v>2021</v>
      </c>
      <c r="J1071" t="s">
        <v>37</v>
      </c>
      <c r="K1071">
        <v>3</v>
      </c>
      <c r="L1071" t="s">
        <v>38</v>
      </c>
      <c r="M1071" t="s">
        <v>30</v>
      </c>
      <c r="N1071" t="s">
        <v>47</v>
      </c>
    </row>
    <row r="1072" spans="1:14" x14ac:dyDescent="0.3">
      <c r="A1072" t="s">
        <v>113</v>
      </c>
      <c r="B1072" t="s">
        <v>186</v>
      </c>
      <c r="C1072" t="s">
        <v>149</v>
      </c>
      <c r="D1072" t="s">
        <v>34</v>
      </c>
      <c r="E1072" t="s">
        <v>270</v>
      </c>
      <c r="F1072" t="s">
        <v>19</v>
      </c>
      <c r="G1072">
        <v>149000</v>
      </c>
      <c r="H1072" s="1">
        <v>45161</v>
      </c>
      <c r="I1072">
        <v>2023</v>
      </c>
      <c r="J1072" t="s">
        <v>153</v>
      </c>
      <c r="K1072">
        <v>8</v>
      </c>
      <c r="L1072" t="s">
        <v>21</v>
      </c>
      <c r="M1072" t="s">
        <v>22</v>
      </c>
      <c r="N1072" t="s">
        <v>31</v>
      </c>
    </row>
    <row r="1073" spans="1:14" x14ac:dyDescent="0.3">
      <c r="A1073" t="s">
        <v>394</v>
      </c>
      <c r="B1073" t="s">
        <v>49</v>
      </c>
      <c r="C1073" t="s">
        <v>225</v>
      </c>
      <c r="D1073" t="s">
        <v>54</v>
      </c>
      <c r="E1073" t="s">
        <v>712</v>
      </c>
      <c r="F1073" t="s">
        <v>103</v>
      </c>
      <c r="G1073">
        <v>1883000</v>
      </c>
      <c r="H1073" s="1">
        <v>43975</v>
      </c>
      <c r="I1073">
        <v>2020</v>
      </c>
      <c r="J1073" t="s">
        <v>77</v>
      </c>
      <c r="K1073">
        <v>5</v>
      </c>
      <c r="L1073" t="s">
        <v>38</v>
      </c>
      <c r="M1073" t="s">
        <v>30</v>
      </c>
      <c r="N1073" t="s">
        <v>40</v>
      </c>
    </row>
    <row r="1074" spans="1:14" x14ac:dyDescent="0.3">
      <c r="A1074" t="s">
        <v>148</v>
      </c>
      <c r="B1074" t="s">
        <v>126</v>
      </c>
      <c r="C1074" t="s">
        <v>127</v>
      </c>
      <c r="D1074" t="s">
        <v>111</v>
      </c>
      <c r="E1074" t="s">
        <v>301</v>
      </c>
      <c r="F1074" t="s">
        <v>103</v>
      </c>
      <c r="G1074">
        <v>1121000</v>
      </c>
      <c r="H1074" s="1">
        <v>44690</v>
      </c>
      <c r="I1074">
        <v>2022</v>
      </c>
      <c r="J1074" t="s">
        <v>77</v>
      </c>
      <c r="K1074">
        <v>5</v>
      </c>
      <c r="L1074" t="s">
        <v>38</v>
      </c>
      <c r="M1074" t="s">
        <v>30</v>
      </c>
      <c r="N1074" t="s">
        <v>40</v>
      </c>
    </row>
    <row r="1075" spans="1:14" x14ac:dyDescent="0.3">
      <c r="A1075" t="s">
        <v>455</v>
      </c>
      <c r="B1075" t="s">
        <v>126</v>
      </c>
      <c r="C1075" t="s">
        <v>159</v>
      </c>
      <c r="D1075" t="s">
        <v>17</v>
      </c>
      <c r="E1075" t="s">
        <v>315</v>
      </c>
      <c r="F1075" t="s">
        <v>19</v>
      </c>
      <c r="G1075">
        <v>53000</v>
      </c>
      <c r="H1075" s="1">
        <v>44919</v>
      </c>
      <c r="I1075">
        <v>2022</v>
      </c>
      <c r="J1075" t="s">
        <v>99</v>
      </c>
      <c r="K1075">
        <v>12</v>
      </c>
      <c r="L1075" t="s">
        <v>21</v>
      </c>
      <c r="M1075" t="s">
        <v>22</v>
      </c>
      <c r="N1075" t="s">
        <v>40</v>
      </c>
    </row>
    <row r="1076" spans="1:14" x14ac:dyDescent="0.3">
      <c r="A1076" t="s">
        <v>125</v>
      </c>
      <c r="B1076" t="s">
        <v>186</v>
      </c>
      <c r="C1076" t="s">
        <v>341</v>
      </c>
      <c r="D1076" t="s">
        <v>17</v>
      </c>
      <c r="E1076" t="s">
        <v>231</v>
      </c>
      <c r="F1076" t="s">
        <v>56</v>
      </c>
      <c r="G1076">
        <v>972000</v>
      </c>
      <c r="H1076" s="1">
        <v>44514</v>
      </c>
      <c r="I1076">
        <v>2021</v>
      </c>
      <c r="J1076" t="s">
        <v>72</v>
      </c>
      <c r="K1076">
        <v>11</v>
      </c>
      <c r="L1076" t="s">
        <v>38</v>
      </c>
      <c r="M1076" t="s">
        <v>22</v>
      </c>
      <c r="N1076" t="s">
        <v>31</v>
      </c>
    </row>
    <row r="1077" spans="1:14" x14ac:dyDescent="0.3">
      <c r="A1077" t="s">
        <v>366</v>
      </c>
      <c r="B1077" t="s">
        <v>94</v>
      </c>
      <c r="C1077" t="s">
        <v>95</v>
      </c>
      <c r="D1077" t="s">
        <v>17</v>
      </c>
      <c r="E1077" t="s">
        <v>97</v>
      </c>
      <c r="F1077" t="s">
        <v>56</v>
      </c>
      <c r="G1077">
        <v>268000</v>
      </c>
      <c r="H1077" s="1">
        <v>45815</v>
      </c>
      <c r="I1077">
        <v>2025</v>
      </c>
      <c r="J1077" t="s">
        <v>141</v>
      </c>
      <c r="K1077">
        <v>6</v>
      </c>
      <c r="L1077" t="s">
        <v>38</v>
      </c>
      <c r="M1077" t="s">
        <v>22</v>
      </c>
      <c r="N1077" t="s">
        <v>40</v>
      </c>
    </row>
    <row r="1078" spans="1:14" x14ac:dyDescent="0.3">
      <c r="A1078" t="s">
        <v>104</v>
      </c>
      <c r="B1078" t="s">
        <v>59</v>
      </c>
      <c r="C1078" t="s">
        <v>123</v>
      </c>
      <c r="D1078" t="s">
        <v>54</v>
      </c>
      <c r="E1078" t="s">
        <v>258</v>
      </c>
      <c r="F1078" t="s">
        <v>103</v>
      </c>
      <c r="G1078">
        <v>2831000</v>
      </c>
      <c r="H1078" s="1">
        <v>45624</v>
      </c>
      <c r="I1078">
        <v>2024</v>
      </c>
      <c r="J1078" t="s">
        <v>72</v>
      </c>
      <c r="K1078">
        <v>11</v>
      </c>
      <c r="L1078" t="s">
        <v>38</v>
      </c>
      <c r="M1078" t="s">
        <v>30</v>
      </c>
      <c r="N1078" t="s">
        <v>31</v>
      </c>
    </row>
    <row r="1079" spans="1:14" x14ac:dyDescent="0.3">
      <c r="A1079" t="s">
        <v>272</v>
      </c>
      <c r="B1079" t="s">
        <v>86</v>
      </c>
      <c r="C1079" t="s">
        <v>228</v>
      </c>
      <c r="D1079" t="s">
        <v>111</v>
      </c>
      <c r="E1079" t="s">
        <v>63</v>
      </c>
      <c r="F1079" t="s">
        <v>19</v>
      </c>
      <c r="G1079">
        <v>613000</v>
      </c>
      <c r="H1079" s="1">
        <v>44033</v>
      </c>
      <c r="I1079">
        <v>2020</v>
      </c>
      <c r="J1079" t="s">
        <v>57</v>
      </c>
      <c r="K1079">
        <v>7</v>
      </c>
      <c r="L1079" t="s">
        <v>21</v>
      </c>
      <c r="M1079" t="s">
        <v>22</v>
      </c>
      <c r="N1079" t="s">
        <v>47</v>
      </c>
    </row>
    <row r="1080" spans="1:14" x14ac:dyDescent="0.3">
      <c r="A1080" t="s">
        <v>395</v>
      </c>
      <c r="B1080" t="s">
        <v>59</v>
      </c>
      <c r="C1080" t="s">
        <v>60</v>
      </c>
      <c r="D1080" t="s">
        <v>111</v>
      </c>
      <c r="E1080" t="s">
        <v>595</v>
      </c>
      <c r="F1080" t="s">
        <v>103</v>
      </c>
      <c r="G1080">
        <v>1806000</v>
      </c>
      <c r="H1080" s="1">
        <v>45637</v>
      </c>
      <c r="I1080">
        <v>2024</v>
      </c>
      <c r="J1080" t="s">
        <v>99</v>
      </c>
      <c r="K1080">
        <v>12</v>
      </c>
      <c r="L1080" t="s">
        <v>38</v>
      </c>
      <c r="M1080" t="s">
        <v>30</v>
      </c>
      <c r="N1080" t="s">
        <v>31</v>
      </c>
    </row>
    <row r="1081" spans="1:14" x14ac:dyDescent="0.3">
      <c r="A1081" t="s">
        <v>466</v>
      </c>
      <c r="B1081" t="s">
        <v>25</v>
      </c>
      <c r="C1081" t="s">
        <v>171</v>
      </c>
      <c r="D1081" t="s">
        <v>54</v>
      </c>
      <c r="E1081" t="s">
        <v>713</v>
      </c>
      <c r="F1081" t="s">
        <v>19</v>
      </c>
      <c r="G1081">
        <v>1663000</v>
      </c>
      <c r="H1081" s="1">
        <v>44993</v>
      </c>
      <c r="I1081">
        <v>2023</v>
      </c>
      <c r="J1081" t="s">
        <v>37</v>
      </c>
      <c r="K1081">
        <v>3</v>
      </c>
      <c r="L1081" t="s">
        <v>21</v>
      </c>
      <c r="M1081" t="s">
        <v>30</v>
      </c>
      <c r="N1081" t="s">
        <v>31</v>
      </c>
    </row>
    <row r="1082" spans="1:14" x14ac:dyDescent="0.3">
      <c r="A1082" t="s">
        <v>204</v>
      </c>
      <c r="B1082" t="s">
        <v>25</v>
      </c>
      <c r="C1082" t="s">
        <v>171</v>
      </c>
      <c r="D1082" t="s">
        <v>75</v>
      </c>
      <c r="E1082" t="s">
        <v>183</v>
      </c>
      <c r="F1082" t="s">
        <v>56</v>
      </c>
      <c r="G1082">
        <v>611000</v>
      </c>
      <c r="H1082" s="1">
        <v>44768</v>
      </c>
      <c r="I1082">
        <v>2022</v>
      </c>
      <c r="J1082" t="s">
        <v>57</v>
      </c>
      <c r="K1082">
        <v>7</v>
      </c>
      <c r="L1082" t="s">
        <v>38</v>
      </c>
      <c r="M1082" t="s">
        <v>22</v>
      </c>
      <c r="N1082" t="s">
        <v>31</v>
      </c>
    </row>
    <row r="1083" spans="1:14" x14ac:dyDescent="0.3">
      <c r="A1083" t="s">
        <v>176</v>
      </c>
      <c r="B1083" t="s">
        <v>32</v>
      </c>
      <c r="C1083" t="s">
        <v>138</v>
      </c>
      <c r="D1083" t="s">
        <v>34</v>
      </c>
      <c r="E1083" t="s">
        <v>317</v>
      </c>
      <c r="F1083" t="s">
        <v>188</v>
      </c>
      <c r="G1083">
        <v>70000</v>
      </c>
      <c r="H1083" s="1">
        <v>44897</v>
      </c>
      <c r="I1083">
        <v>2022</v>
      </c>
      <c r="J1083" t="s">
        <v>99</v>
      </c>
      <c r="K1083">
        <v>12</v>
      </c>
      <c r="L1083" t="s">
        <v>38</v>
      </c>
      <c r="M1083" t="s">
        <v>22</v>
      </c>
      <c r="N1083" t="s">
        <v>40</v>
      </c>
    </row>
    <row r="1084" spans="1:14" x14ac:dyDescent="0.3">
      <c r="A1084" t="s">
        <v>198</v>
      </c>
      <c r="B1084" t="s">
        <v>94</v>
      </c>
      <c r="C1084" t="s">
        <v>159</v>
      </c>
      <c r="D1084" t="s">
        <v>96</v>
      </c>
      <c r="E1084" t="s">
        <v>121</v>
      </c>
      <c r="F1084" t="s">
        <v>175</v>
      </c>
      <c r="G1084">
        <v>130783000</v>
      </c>
      <c r="H1084" s="1">
        <v>45130</v>
      </c>
      <c r="I1084">
        <v>2023</v>
      </c>
      <c r="J1084" t="s">
        <v>57</v>
      </c>
      <c r="K1084">
        <v>7</v>
      </c>
      <c r="L1084" t="s">
        <v>65</v>
      </c>
      <c r="M1084" t="s">
        <v>66</v>
      </c>
      <c r="N1084" t="s">
        <v>40</v>
      </c>
    </row>
    <row r="1085" spans="1:14" x14ac:dyDescent="0.3">
      <c r="A1085" t="s">
        <v>189</v>
      </c>
      <c r="B1085" t="s">
        <v>105</v>
      </c>
      <c r="C1085" t="s">
        <v>162</v>
      </c>
      <c r="D1085" t="s">
        <v>17</v>
      </c>
      <c r="E1085" t="s">
        <v>714</v>
      </c>
      <c r="F1085" t="s">
        <v>36</v>
      </c>
      <c r="G1085">
        <v>57218000</v>
      </c>
      <c r="H1085" s="1">
        <v>44965</v>
      </c>
      <c r="I1085">
        <v>2023</v>
      </c>
      <c r="J1085" t="s">
        <v>108</v>
      </c>
      <c r="K1085">
        <v>2</v>
      </c>
      <c r="L1085" t="s">
        <v>38</v>
      </c>
      <c r="M1085" t="s">
        <v>39</v>
      </c>
      <c r="N1085" t="s">
        <v>23</v>
      </c>
    </row>
    <row r="1086" spans="1:14" x14ac:dyDescent="0.3">
      <c r="A1086" t="s">
        <v>113</v>
      </c>
      <c r="B1086" t="s">
        <v>49</v>
      </c>
      <c r="C1086" t="s">
        <v>50</v>
      </c>
      <c r="D1086" t="s">
        <v>54</v>
      </c>
      <c r="E1086" t="s">
        <v>715</v>
      </c>
      <c r="F1086" t="s">
        <v>103</v>
      </c>
      <c r="G1086">
        <v>12915000</v>
      </c>
      <c r="H1086" s="1">
        <v>44885</v>
      </c>
      <c r="I1086">
        <v>2022</v>
      </c>
      <c r="J1086" t="s">
        <v>72</v>
      </c>
      <c r="K1086">
        <v>11</v>
      </c>
      <c r="L1086" t="s">
        <v>38</v>
      </c>
      <c r="M1086" t="s">
        <v>39</v>
      </c>
      <c r="N1086" t="s">
        <v>40</v>
      </c>
    </row>
    <row r="1087" spans="1:14" x14ac:dyDescent="0.3">
      <c r="A1087" t="s">
        <v>716</v>
      </c>
      <c r="B1087" t="s">
        <v>15</v>
      </c>
      <c r="C1087" t="s">
        <v>74</v>
      </c>
      <c r="D1087" t="s">
        <v>136</v>
      </c>
      <c r="E1087" t="s">
        <v>217</v>
      </c>
      <c r="F1087" t="s">
        <v>36</v>
      </c>
      <c r="G1087">
        <v>18272000</v>
      </c>
      <c r="H1087" s="1">
        <v>45366</v>
      </c>
      <c r="I1087">
        <v>2024</v>
      </c>
      <c r="J1087" t="s">
        <v>37</v>
      </c>
      <c r="K1087">
        <v>3</v>
      </c>
      <c r="L1087" t="s">
        <v>38</v>
      </c>
      <c r="M1087" t="s">
        <v>39</v>
      </c>
      <c r="N1087" t="s">
        <v>23</v>
      </c>
    </row>
    <row r="1088" spans="1:14" x14ac:dyDescent="0.3">
      <c r="A1088" t="s">
        <v>223</v>
      </c>
      <c r="B1088" t="s">
        <v>126</v>
      </c>
      <c r="C1088" t="s">
        <v>265</v>
      </c>
      <c r="D1088" t="s">
        <v>54</v>
      </c>
      <c r="E1088" t="s">
        <v>717</v>
      </c>
      <c r="F1088" t="s">
        <v>36</v>
      </c>
      <c r="G1088">
        <v>27390000</v>
      </c>
      <c r="H1088" s="1">
        <v>45637</v>
      </c>
      <c r="I1088">
        <v>2024</v>
      </c>
      <c r="J1088" t="s">
        <v>99</v>
      </c>
      <c r="K1088">
        <v>12</v>
      </c>
      <c r="L1088" t="s">
        <v>38</v>
      </c>
      <c r="M1088" t="s">
        <v>39</v>
      </c>
      <c r="N1088" t="s">
        <v>40</v>
      </c>
    </row>
    <row r="1089" spans="1:14" x14ac:dyDescent="0.3">
      <c r="A1089" t="s">
        <v>122</v>
      </c>
      <c r="B1089" t="s">
        <v>114</v>
      </c>
      <c r="C1089" t="s">
        <v>156</v>
      </c>
      <c r="D1089" t="s">
        <v>111</v>
      </c>
      <c r="E1089" t="s">
        <v>651</v>
      </c>
      <c r="F1089" t="s">
        <v>56</v>
      </c>
      <c r="G1089">
        <v>147000</v>
      </c>
      <c r="H1089" s="1">
        <v>43935</v>
      </c>
      <c r="I1089">
        <v>2020</v>
      </c>
      <c r="J1089" t="s">
        <v>20</v>
      </c>
      <c r="K1089">
        <v>4</v>
      </c>
      <c r="L1089" t="s">
        <v>38</v>
      </c>
      <c r="M1089" t="s">
        <v>22</v>
      </c>
      <c r="N1089" t="s">
        <v>47</v>
      </c>
    </row>
    <row r="1090" spans="1:14" x14ac:dyDescent="0.3">
      <c r="A1090" t="s">
        <v>450</v>
      </c>
      <c r="B1090" t="s">
        <v>86</v>
      </c>
      <c r="C1090" t="s">
        <v>87</v>
      </c>
      <c r="D1090" t="s">
        <v>111</v>
      </c>
      <c r="E1090" t="s">
        <v>200</v>
      </c>
      <c r="F1090" t="s">
        <v>175</v>
      </c>
      <c r="G1090">
        <v>489935000</v>
      </c>
      <c r="H1090" s="1">
        <v>45587</v>
      </c>
      <c r="I1090">
        <v>2024</v>
      </c>
      <c r="J1090" t="s">
        <v>89</v>
      </c>
      <c r="K1090">
        <v>10</v>
      </c>
      <c r="L1090" t="s">
        <v>65</v>
      </c>
      <c r="M1090" t="s">
        <v>66</v>
      </c>
      <c r="N1090" t="s">
        <v>47</v>
      </c>
    </row>
    <row r="1091" spans="1:14" x14ac:dyDescent="0.3">
      <c r="A1091" t="s">
        <v>239</v>
      </c>
      <c r="B1091" t="s">
        <v>15</v>
      </c>
      <c r="C1091" t="s">
        <v>74</v>
      </c>
      <c r="D1091" t="s">
        <v>75</v>
      </c>
      <c r="E1091" t="s">
        <v>234</v>
      </c>
      <c r="F1091" t="s">
        <v>56</v>
      </c>
      <c r="G1091">
        <v>170000</v>
      </c>
      <c r="H1091" s="1">
        <v>45721</v>
      </c>
      <c r="I1091">
        <v>2025</v>
      </c>
      <c r="J1091" t="s">
        <v>37</v>
      </c>
      <c r="K1091">
        <v>3</v>
      </c>
      <c r="L1091" t="s">
        <v>38</v>
      </c>
      <c r="M1091" t="s">
        <v>22</v>
      </c>
      <c r="N1091" t="s">
        <v>23</v>
      </c>
    </row>
    <row r="1092" spans="1:14" x14ac:dyDescent="0.3">
      <c r="A1092" t="s">
        <v>313</v>
      </c>
      <c r="B1092" t="s">
        <v>126</v>
      </c>
      <c r="C1092" t="s">
        <v>265</v>
      </c>
      <c r="D1092" t="s">
        <v>27</v>
      </c>
      <c r="E1092" t="s">
        <v>718</v>
      </c>
      <c r="F1092" t="s">
        <v>56</v>
      </c>
      <c r="G1092">
        <v>876000</v>
      </c>
      <c r="H1092" s="1">
        <v>45091</v>
      </c>
      <c r="I1092">
        <v>2023</v>
      </c>
      <c r="J1092" t="s">
        <v>141</v>
      </c>
      <c r="K1092">
        <v>6</v>
      </c>
      <c r="L1092" t="s">
        <v>38</v>
      </c>
      <c r="M1092" t="s">
        <v>22</v>
      </c>
      <c r="N1092" t="s">
        <v>40</v>
      </c>
    </row>
    <row r="1093" spans="1:14" x14ac:dyDescent="0.3">
      <c r="A1093" t="s">
        <v>507</v>
      </c>
      <c r="B1093" t="s">
        <v>25</v>
      </c>
      <c r="C1093" t="s">
        <v>171</v>
      </c>
      <c r="D1093" t="s">
        <v>136</v>
      </c>
      <c r="E1093" t="s">
        <v>222</v>
      </c>
      <c r="F1093" t="s">
        <v>56</v>
      </c>
      <c r="G1093">
        <v>446000</v>
      </c>
      <c r="H1093" s="1">
        <v>44038</v>
      </c>
      <c r="I1093">
        <v>2020</v>
      </c>
      <c r="J1093" t="s">
        <v>57</v>
      </c>
      <c r="K1093">
        <v>7</v>
      </c>
      <c r="L1093" t="s">
        <v>38</v>
      </c>
      <c r="M1093" t="s">
        <v>22</v>
      </c>
      <c r="N1093" t="s">
        <v>31</v>
      </c>
    </row>
    <row r="1094" spans="1:14" x14ac:dyDescent="0.3">
      <c r="A1094" t="s">
        <v>73</v>
      </c>
      <c r="B1094" t="s">
        <v>42</v>
      </c>
      <c r="C1094" t="s">
        <v>182</v>
      </c>
      <c r="D1094" t="s">
        <v>54</v>
      </c>
      <c r="E1094" t="s">
        <v>226</v>
      </c>
      <c r="F1094" t="s">
        <v>132</v>
      </c>
      <c r="G1094">
        <v>103701000</v>
      </c>
      <c r="H1094" s="1">
        <v>44343</v>
      </c>
      <c r="I1094">
        <v>2021</v>
      </c>
      <c r="J1094" t="s">
        <v>77</v>
      </c>
      <c r="K1094">
        <v>5</v>
      </c>
      <c r="L1094" t="s">
        <v>65</v>
      </c>
      <c r="M1094" t="s">
        <v>66</v>
      </c>
      <c r="N1094" t="s">
        <v>47</v>
      </c>
    </row>
    <row r="1095" spans="1:14" x14ac:dyDescent="0.3">
      <c r="A1095" t="s">
        <v>468</v>
      </c>
      <c r="B1095" t="s">
        <v>68</v>
      </c>
      <c r="C1095" t="s">
        <v>324</v>
      </c>
      <c r="D1095" t="s">
        <v>111</v>
      </c>
      <c r="E1095" t="s">
        <v>335</v>
      </c>
      <c r="F1095" t="s">
        <v>132</v>
      </c>
      <c r="G1095">
        <v>80168000</v>
      </c>
      <c r="H1095" s="1">
        <v>44053</v>
      </c>
      <c r="I1095">
        <v>2020</v>
      </c>
      <c r="J1095" t="s">
        <v>153</v>
      </c>
      <c r="K1095">
        <v>8</v>
      </c>
      <c r="L1095" t="s">
        <v>65</v>
      </c>
      <c r="M1095" t="s">
        <v>39</v>
      </c>
      <c r="N1095" t="s">
        <v>31</v>
      </c>
    </row>
    <row r="1096" spans="1:14" x14ac:dyDescent="0.3">
      <c r="A1096" t="s">
        <v>316</v>
      </c>
      <c r="B1096" t="s">
        <v>68</v>
      </c>
      <c r="C1096" t="s">
        <v>324</v>
      </c>
      <c r="D1096" t="s">
        <v>96</v>
      </c>
      <c r="E1096" t="s">
        <v>112</v>
      </c>
      <c r="F1096" t="s">
        <v>98</v>
      </c>
      <c r="G1096">
        <v>170086000</v>
      </c>
      <c r="H1096" s="1">
        <v>45283</v>
      </c>
      <c r="I1096">
        <v>2023</v>
      </c>
      <c r="J1096" t="s">
        <v>99</v>
      </c>
      <c r="K1096">
        <v>12</v>
      </c>
      <c r="L1096" t="s">
        <v>65</v>
      </c>
      <c r="M1096" t="s">
        <v>66</v>
      </c>
      <c r="N1096" t="s">
        <v>31</v>
      </c>
    </row>
    <row r="1097" spans="1:14" x14ac:dyDescent="0.3">
      <c r="A1097" t="s">
        <v>719</v>
      </c>
      <c r="B1097" t="s">
        <v>68</v>
      </c>
      <c r="C1097" t="s">
        <v>69</v>
      </c>
      <c r="D1097" t="s">
        <v>96</v>
      </c>
      <c r="E1097" t="s">
        <v>720</v>
      </c>
      <c r="F1097" t="s">
        <v>128</v>
      </c>
      <c r="G1097">
        <v>8000</v>
      </c>
      <c r="H1097" s="1">
        <v>44159</v>
      </c>
      <c r="I1097">
        <v>2020</v>
      </c>
      <c r="J1097" t="s">
        <v>72</v>
      </c>
      <c r="K1097">
        <v>11</v>
      </c>
      <c r="L1097" t="s">
        <v>21</v>
      </c>
      <c r="M1097" t="s">
        <v>22</v>
      </c>
      <c r="N1097" t="s">
        <v>31</v>
      </c>
    </row>
    <row r="1098" spans="1:14" x14ac:dyDescent="0.3">
      <c r="A1098" t="s">
        <v>331</v>
      </c>
      <c r="B1098" t="s">
        <v>42</v>
      </c>
      <c r="C1098" t="s">
        <v>205</v>
      </c>
      <c r="D1098" t="s">
        <v>70</v>
      </c>
      <c r="E1098" t="s">
        <v>301</v>
      </c>
      <c r="F1098" t="s">
        <v>132</v>
      </c>
      <c r="G1098">
        <v>36336000</v>
      </c>
      <c r="H1098" s="1">
        <v>45293</v>
      </c>
      <c r="I1098">
        <v>2024</v>
      </c>
      <c r="J1098" t="s">
        <v>29</v>
      </c>
      <c r="K1098">
        <v>1</v>
      </c>
      <c r="L1098" t="s">
        <v>65</v>
      </c>
      <c r="M1098" t="s">
        <v>39</v>
      </c>
      <c r="N1098" t="s">
        <v>47</v>
      </c>
    </row>
    <row r="1099" spans="1:14" x14ac:dyDescent="0.3">
      <c r="A1099" t="s">
        <v>230</v>
      </c>
      <c r="B1099" t="s">
        <v>25</v>
      </c>
      <c r="C1099" t="s">
        <v>168</v>
      </c>
      <c r="D1099" t="s">
        <v>54</v>
      </c>
      <c r="E1099" t="s">
        <v>231</v>
      </c>
      <c r="F1099" t="s">
        <v>19</v>
      </c>
      <c r="G1099">
        <v>99000</v>
      </c>
      <c r="H1099" s="1">
        <v>44051</v>
      </c>
      <c r="I1099">
        <v>2020</v>
      </c>
      <c r="J1099" t="s">
        <v>153</v>
      </c>
      <c r="K1099">
        <v>8</v>
      </c>
      <c r="L1099" t="s">
        <v>21</v>
      </c>
      <c r="M1099" t="s">
        <v>22</v>
      </c>
      <c r="N1099" t="s">
        <v>31</v>
      </c>
    </row>
    <row r="1100" spans="1:14" x14ac:dyDescent="0.3">
      <c r="A1100" t="s">
        <v>379</v>
      </c>
      <c r="B1100" t="s">
        <v>59</v>
      </c>
      <c r="C1100" t="s">
        <v>60</v>
      </c>
      <c r="D1100" t="s">
        <v>44</v>
      </c>
      <c r="E1100" t="s">
        <v>183</v>
      </c>
      <c r="F1100" t="s">
        <v>19</v>
      </c>
      <c r="G1100">
        <v>887000</v>
      </c>
      <c r="H1100" s="1">
        <v>45530</v>
      </c>
      <c r="I1100">
        <v>2024</v>
      </c>
      <c r="J1100" t="s">
        <v>153</v>
      </c>
      <c r="K1100">
        <v>8</v>
      </c>
      <c r="L1100" t="s">
        <v>21</v>
      </c>
      <c r="M1100" t="s">
        <v>22</v>
      </c>
      <c r="N1100" t="s">
        <v>31</v>
      </c>
    </row>
    <row r="1101" spans="1:14" x14ac:dyDescent="0.3">
      <c r="A1101" t="s">
        <v>466</v>
      </c>
      <c r="B1101" t="s">
        <v>94</v>
      </c>
      <c r="C1101" t="s">
        <v>159</v>
      </c>
      <c r="D1101" t="s">
        <v>70</v>
      </c>
      <c r="E1101" t="s">
        <v>116</v>
      </c>
      <c r="F1101" t="s">
        <v>19</v>
      </c>
      <c r="G1101">
        <v>182000</v>
      </c>
      <c r="H1101" s="1">
        <v>44709</v>
      </c>
      <c r="I1101">
        <v>2022</v>
      </c>
      <c r="J1101" t="s">
        <v>77</v>
      </c>
      <c r="K1101">
        <v>5</v>
      </c>
      <c r="L1101" t="s">
        <v>21</v>
      </c>
      <c r="M1101" t="s">
        <v>22</v>
      </c>
      <c r="N1101" t="s">
        <v>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B84C-AB77-494A-8930-EB26A0E57E2B}">
  <dimension ref="A3:B10"/>
  <sheetViews>
    <sheetView workbookViewId="0">
      <selection activeCell="R13" sqref="R13"/>
    </sheetView>
  </sheetViews>
  <sheetFormatPr defaultRowHeight="14.4" x14ac:dyDescent="0.3"/>
  <cols>
    <col min="1" max="1" width="12.5546875" bestFit="1" customWidth="1"/>
    <col min="2" max="2" width="28.88671875" bestFit="1" customWidth="1"/>
  </cols>
  <sheetData>
    <row r="3" spans="1:2" x14ac:dyDescent="0.3">
      <c r="A3" s="2" t="s">
        <v>726</v>
      </c>
      <c r="B3" t="s">
        <v>722</v>
      </c>
    </row>
    <row r="4" spans="1:2" x14ac:dyDescent="0.3">
      <c r="A4" s="3">
        <v>2020</v>
      </c>
      <c r="B4" s="5">
        <v>4756665000</v>
      </c>
    </row>
    <row r="5" spans="1:2" x14ac:dyDescent="0.3">
      <c r="A5" s="3">
        <v>2021</v>
      </c>
      <c r="B5" s="5">
        <v>6024899000</v>
      </c>
    </row>
    <row r="6" spans="1:2" x14ac:dyDescent="0.3">
      <c r="A6" s="3">
        <v>2022</v>
      </c>
      <c r="B6" s="5">
        <v>4509675000</v>
      </c>
    </row>
    <row r="7" spans="1:2" x14ac:dyDescent="0.3">
      <c r="A7" s="3">
        <v>2023</v>
      </c>
      <c r="B7" s="5">
        <v>4001981000</v>
      </c>
    </row>
    <row r="8" spans="1:2" x14ac:dyDescent="0.3">
      <c r="A8" s="3">
        <v>2024</v>
      </c>
      <c r="B8" s="5">
        <v>5979808000</v>
      </c>
    </row>
    <row r="9" spans="1:2" x14ac:dyDescent="0.3">
      <c r="A9" s="3">
        <v>2025</v>
      </c>
      <c r="B9" s="5">
        <v>2813215000</v>
      </c>
    </row>
    <row r="10" spans="1:2" x14ac:dyDescent="0.3">
      <c r="A10" s="3" t="s">
        <v>725</v>
      </c>
      <c r="B10" s="5">
        <v>28086243000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1D7C-A610-4755-8FB2-4AAB94055B94}">
  <dimension ref="A3:B9"/>
  <sheetViews>
    <sheetView workbookViewId="0">
      <selection activeCell="A3" sqref="A3"/>
    </sheetView>
  </sheetViews>
  <sheetFormatPr defaultRowHeight="14.4" x14ac:dyDescent="0.3"/>
  <cols>
    <col min="1" max="1" width="16.77734375" bestFit="1" customWidth="1"/>
    <col min="2" max="2" width="15.109375" bestFit="1" customWidth="1"/>
  </cols>
  <sheetData>
    <row r="3" spans="1:2" x14ac:dyDescent="0.3">
      <c r="A3" s="2" t="s">
        <v>726</v>
      </c>
      <c r="B3" t="s">
        <v>721</v>
      </c>
    </row>
    <row r="4" spans="1:2" x14ac:dyDescent="0.3">
      <c r="A4" s="3" t="s">
        <v>31</v>
      </c>
      <c r="B4">
        <v>344</v>
      </c>
    </row>
    <row r="5" spans="1:2" x14ac:dyDescent="0.3">
      <c r="A5" s="3" t="s">
        <v>84</v>
      </c>
      <c r="B5">
        <v>73</v>
      </c>
    </row>
    <row r="6" spans="1:2" x14ac:dyDescent="0.3">
      <c r="A6" s="3" t="s">
        <v>23</v>
      </c>
      <c r="B6">
        <v>154</v>
      </c>
    </row>
    <row r="7" spans="1:2" x14ac:dyDescent="0.3">
      <c r="A7" s="3" t="s">
        <v>40</v>
      </c>
      <c r="B7">
        <v>304</v>
      </c>
    </row>
    <row r="8" spans="1:2" x14ac:dyDescent="0.3">
      <c r="A8" s="3" t="s">
        <v>47</v>
      </c>
      <c r="B8">
        <v>225</v>
      </c>
    </row>
    <row r="9" spans="1:2" x14ac:dyDescent="0.3">
      <c r="A9" s="3" t="s">
        <v>725</v>
      </c>
      <c r="B9">
        <v>1100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EB63-3E1D-488A-960A-A6B026D2FE47}">
  <dimension ref="A3:B7"/>
  <sheetViews>
    <sheetView workbookViewId="0">
      <selection activeCell="U19" sqref="U19"/>
    </sheetView>
  </sheetViews>
  <sheetFormatPr defaultRowHeight="14.4" x14ac:dyDescent="0.3"/>
  <cols>
    <col min="1" max="1" width="12.5546875" bestFit="1" customWidth="1"/>
    <col min="2" max="2" width="28.88671875" bestFit="1" customWidth="1"/>
  </cols>
  <sheetData>
    <row r="3" spans="1:2" x14ac:dyDescent="0.3">
      <c r="A3" s="2" t="s">
        <v>726</v>
      </c>
      <c r="B3" t="s">
        <v>722</v>
      </c>
    </row>
    <row r="4" spans="1:2" x14ac:dyDescent="0.3">
      <c r="A4" s="3" t="s">
        <v>21</v>
      </c>
      <c r="B4" s="5">
        <v>182506000</v>
      </c>
    </row>
    <row r="5" spans="1:2" x14ac:dyDescent="0.3">
      <c r="A5" s="3" t="s">
        <v>38</v>
      </c>
      <c r="B5" s="5">
        <v>4379258000</v>
      </c>
    </row>
    <row r="6" spans="1:2" x14ac:dyDescent="0.3">
      <c r="A6" s="3" t="s">
        <v>65</v>
      </c>
      <c r="B6" s="5">
        <v>23524479000</v>
      </c>
    </row>
    <row r="7" spans="1:2" x14ac:dyDescent="0.3">
      <c r="A7" s="3" t="s">
        <v>725</v>
      </c>
      <c r="B7" s="5">
        <v>28086243000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86EF-4C13-4053-82F3-4F981B55C7B1}">
  <dimension ref="A3:E14"/>
  <sheetViews>
    <sheetView workbookViewId="0">
      <selection activeCell="D3" sqref="D3:E13"/>
    </sheetView>
  </sheetViews>
  <sheetFormatPr defaultRowHeight="14.4" x14ac:dyDescent="0.3"/>
  <cols>
    <col min="1" max="1" width="12.5546875" bestFit="1" customWidth="1"/>
    <col min="2" max="2" width="15.109375" bestFit="1" customWidth="1"/>
  </cols>
  <sheetData>
    <row r="3" spans="1:5" x14ac:dyDescent="0.3">
      <c r="A3" s="2" t="s">
        <v>726</v>
      </c>
      <c r="B3" t="s">
        <v>721</v>
      </c>
      <c r="D3" s="4"/>
      <c r="E3" s="4"/>
    </row>
    <row r="4" spans="1:5" x14ac:dyDescent="0.3">
      <c r="A4" s="3" t="s">
        <v>75</v>
      </c>
      <c r="B4">
        <v>111</v>
      </c>
      <c r="D4" s="3"/>
    </row>
    <row r="5" spans="1:5" x14ac:dyDescent="0.3">
      <c r="A5" s="3" t="s">
        <v>27</v>
      </c>
      <c r="B5">
        <v>107</v>
      </c>
      <c r="D5" s="3"/>
    </row>
    <row r="6" spans="1:5" x14ac:dyDescent="0.3">
      <c r="A6" s="3" t="s">
        <v>136</v>
      </c>
      <c r="B6">
        <v>112</v>
      </c>
      <c r="D6" s="3"/>
    </row>
    <row r="7" spans="1:5" x14ac:dyDescent="0.3">
      <c r="A7" s="3" t="s">
        <v>54</v>
      </c>
      <c r="B7">
        <v>128</v>
      </c>
      <c r="D7" s="3"/>
    </row>
    <row r="8" spans="1:5" x14ac:dyDescent="0.3">
      <c r="A8" s="3" t="s">
        <v>44</v>
      </c>
      <c r="B8">
        <v>109</v>
      </c>
      <c r="D8" s="3"/>
    </row>
    <row r="9" spans="1:5" x14ac:dyDescent="0.3">
      <c r="A9" s="3" t="s">
        <v>34</v>
      </c>
      <c r="B9">
        <v>96</v>
      </c>
      <c r="D9" s="3"/>
    </row>
    <row r="10" spans="1:5" x14ac:dyDescent="0.3">
      <c r="A10" s="3" t="s">
        <v>70</v>
      </c>
      <c r="B10">
        <v>116</v>
      </c>
      <c r="D10" s="3"/>
    </row>
    <row r="11" spans="1:5" x14ac:dyDescent="0.3">
      <c r="A11" s="3" t="s">
        <v>17</v>
      </c>
      <c r="B11">
        <v>104</v>
      </c>
      <c r="D11" s="3"/>
    </row>
    <row r="12" spans="1:5" x14ac:dyDescent="0.3">
      <c r="A12" s="3" t="s">
        <v>111</v>
      </c>
      <c r="B12">
        <v>104</v>
      </c>
      <c r="D12" s="3"/>
    </row>
    <row r="13" spans="1:5" x14ac:dyDescent="0.3">
      <c r="A13" s="3" t="s">
        <v>96</v>
      </c>
      <c r="B13">
        <v>113</v>
      </c>
      <c r="D13" s="3"/>
    </row>
    <row r="14" spans="1:5" x14ac:dyDescent="0.3">
      <c r="A14" s="3" t="s">
        <v>725</v>
      </c>
      <c r="B14">
        <v>1100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18C2-B0EA-4B36-B541-5D25B9DF64E3}">
  <dimension ref="A3:B8"/>
  <sheetViews>
    <sheetView workbookViewId="0">
      <selection activeCell="U19" sqref="U19"/>
    </sheetView>
  </sheetViews>
  <sheetFormatPr defaultRowHeight="14.4" x14ac:dyDescent="0.3"/>
  <cols>
    <col min="1" max="1" width="18.5546875" bestFit="1" customWidth="1"/>
    <col min="2" max="2" width="15.109375" bestFit="1" customWidth="1"/>
  </cols>
  <sheetData>
    <row r="3" spans="1:2" x14ac:dyDescent="0.3">
      <c r="A3" s="2" t="s">
        <v>726</v>
      </c>
      <c r="B3" t="s">
        <v>721</v>
      </c>
    </row>
    <row r="4" spans="1:2" x14ac:dyDescent="0.3">
      <c r="A4" s="3" t="s">
        <v>39</v>
      </c>
      <c r="B4">
        <v>194</v>
      </c>
    </row>
    <row r="5" spans="1:2" x14ac:dyDescent="0.3">
      <c r="A5" s="3" t="s">
        <v>66</v>
      </c>
      <c r="B5">
        <v>83</v>
      </c>
    </row>
    <row r="6" spans="1:2" x14ac:dyDescent="0.3">
      <c r="A6" s="3" t="s">
        <v>30</v>
      </c>
      <c r="B6">
        <v>297</v>
      </c>
    </row>
    <row r="7" spans="1:2" x14ac:dyDescent="0.3">
      <c r="A7" s="3" t="s">
        <v>22</v>
      </c>
      <c r="B7">
        <v>526</v>
      </c>
    </row>
    <row r="8" spans="1:2" x14ac:dyDescent="0.3">
      <c r="A8" s="3" t="s">
        <v>725</v>
      </c>
      <c r="B8">
        <v>1100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62AB-637C-4CD5-9B93-9325CBD81B91}">
  <dimension ref="A3:B9"/>
  <sheetViews>
    <sheetView workbookViewId="0">
      <selection activeCell="B4" sqref="B4"/>
    </sheetView>
  </sheetViews>
  <sheetFormatPr defaultRowHeight="14.4" x14ac:dyDescent="0.3"/>
  <cols>
    <col min="1" max="1" width="18.77734375" bestFit="1" customWidth="1"/>
    <col min="2" max="2" width="28.88671875" bestFit="1" customWidth="1"/>
    <col min="3" max="5" width="17.44140625" bestFit="1" customWidth="1"/>
    <col min="6" max="7" width="10.77734375" bestFit="1" customWidth="1"/>
  </cols>
  <sheetData>
    <row r="3" spans="1:2" x14ac:dyDescent="0.3">
      <c r="A3" s="2" t="s">
        <v>726</v>
      </c>
      <c r="B3" t="s">
        <v>722</v>
      </c>
    </row>
    <row r="4" spans="1:2" x14ac:dyDescent="0.3">
      <c r="A4" s="3" t="s">
        <v>25</v>
      </c>
      <c r="B4" s="5">
        <v>2292449000</v>
      </c>
    </row>
    <row r="5" spans="1:2" x14ac:dyDescent="0.3">
      <c r="A5" s="3" t="s">
        <v>32</v>
      </c>
      <c r="B5" s="5">
        <v>2460096000</v>
      </c>
    </row>
    <row r="6" spans="1:2" x14ac:dyDescent="0.3">
      <c r="A6" s="3" t="s">
        <v>59</v>
      </c>
      <c r="B6" s="5">
        <v>2673074000</v>
      </c>
    </row>
    <row r="7" spans="1:2" x14ac:dyDescent="0.3">
      <c r="A7" s="3" t="s">
        <v>42</v>
      </c>
      <c r="B7" s="5">
        <v>2703489000</v>
      </c>
    </row>
    <row r="8" spans="1:2" x14ac:dyDescent="0.3">
      <c r="A8" s="3" t="s">
        <v>68</v>
      </c>
      <c r="B8" s="5">
        <v>3477282000</v>
      </c>
    </row>
    <row r="9" spans="1:2" x14ac:dyDescent="0.3">
      <c r="A9" s="3" t="s">
        <v>725</v>
      </c>
      <c r="B9" s="5">
        <v>13606390000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5BBDC1-AB48-4E4E-8A1E-FD1ABBB9A3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KPI's</vt:lpstr>
      <vt:lpstr>indian_startup_funding_2020_202</vt:lpstr>
      <vt:lpstr>Funding by Year</vt:lpstr>
      <vt:lpstr>Deal Count by Industry</vt:lpstr>
      <vt:lpstr>Funding by Stage</vt:lpstr>
      <vt:lpstr>Deal Count by Cities</vt:lpstr>
      <vt:lpstr>Deals Count by Amount</vt:lpstr>
      <vt:lpstr>Top Five Industry by Funding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sumer rana</dc:creator>
  <cp:lastModifiedBy>sumer rana</cp:lastModifiedBy>
  <dcterms:created xsi:type="dcterms:W3CDTF">2026-05-30T09:59:25Z</dcterms:created>
  <dcterms:modified xsi:type="dcterms:W3CDTF">2026-06-11T04:14:57Z</dcterms:modified>
</cp:coreProperties>
</file>